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대치더브리에\Desktop\프로그램\"/>
    </mc:Choice>
  </mc:AlternateContent>
  <xr:revisionPtr revIDLastSave="0" documentId="13_ncr:1_{549EE782-2821-479D-96C1-97DECF88E176}" xr6:coauthVersionLast="47" xr6:coauthVersionMax="47" xr10:uidLastSave="{00000000-0000-0000-0000-000000000000}"/>
  <bookViews>
    <workbookView xWindow="-120" yWindow="-120" windowWidth="38640" windowHeight="21120" activeTab="11" xr2:uid="{00000000-000D-0000-FFFF-FFFF00000000}"/>
  </bookViews>
  <sheets>
    <sheet name="클리닉 시간" sheetId="1" r:id="rId1"/>
    <sheet name="토요일 문해력" sheetId="2" r:id="rId2"/>
    <sheet name="수요일 고1" sheetId="3" r:id="rId3"/>
    <sheet name="수요일 고3" sheetId="4" r:id="rId4"/>
    <sheet name="토요일 고1" sheetId="5" r:id="rId5"/>
    <sheet name="토요일 미강고2" sheetId="6" r:id="rId6"/>
    <sheet name="토요일 고3" sheetId="7" r:id="rId7"/>
    <sheet name="월요일 고2" sheetId="8" r:id="rId8"/>
    <sheet name="토요일 풍산고2" sheetId="9" r:id="rId9"/>
    <sheet name="일요일 미사고2" sheetId="10" r:id="rId10"/>
    <sheet name="화·금 중3" sheetId="11" r:id="rId11"/>
    <sheet name="일요일 미강고2"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2" i="12" l="1"/>
  <c r="Y22" i="12"/>
  <c r="X22" i="12"/>
  <c r="Z21" i="12"/>
  <c r="Y21" i="12"/>
  <c r="X21" i="12"/>
  <c r="Z20" i="12"/>
  <c r="Y20" i="12"/>
  <c r="X20" i="12"/>
  <c r="Z19" i="12"/>
  <c r="Y19" i="12"/>
  <c r="X19" i="12"/>
  <c r="Z18" i="12"/>
  <c r="Y18" i="12"/>
  <c r="X18" i="12"/>
  <c r="Z17" i="12"/>
  <c r="Y17" i="12"/>
  <c r="X17" i="12"/>
  <c r="Z16" i="12"/>
  <c r="Y16" i="12"/>
  <c r="X16" i="12"/>
  <c r="Z15" i="12"/>
  <c r="Y15" i="12"/>
  <c r="X15" i="12"/>
  <c r="Z14" i="12"/>
  <c r="Y14" i="12"/>
  <c r="X14" i="12"/>
  <c r="Z13" i="12"/>
  <c r="Y13" i="12"/>
  <c r="X13" i="12"/>
  <c r="Z12" i="12"/>
  <c r="Y12" i="12"/>
  <c r="X12" i="12"/>
  <c r="Z11" i="12"/>
  <c r="Y11" i="12"/>
  <c r="X11" i="12"/>
  <c r="Z10" i="12"/>
  <c r="Y10" i="12"/>
  <c r="X10" i="12"/>
  <c r="Z9" i="12"/>
  <c r="Y9" i="12"/>
  <c r="X9" i="12"/>
  <c r="Z8" i="12"/>
  <c r="Y8" i="12"/>
  <c r="X8" i="12"/>
  <c r="Z7" i="12"/>
  <c r="Y7" i="12"/>
  <c r="X7" i="12"/>
  <c r="Z6" i="12"/>
  <c r="Y6" i="12"/>
  <c r="X6" i="12"/>
  <c r="Z5" i="12"/>
  <c r="Y5" i="12"/>
  <c r="X5" i="12"/>
  <c r="Z4" i="12"/>
  <c r="Y4" i="12"/>
  <c r="X4" i="12"/>
  <c r="Z3" i="12"/>
  <c r="Y3" i="12"/>
  <c r="X3" i="12"/>
  <c r="Z22" i="11"/>
  <c r="Y22" i="11"/>
  <c r="X22" i="11"/>
  <c r="Z21" i="11"/>
  <c r="Y21" i="11"/>
  <c r="X21" i="11"/>
  <c r="Z20" i="11"/>
  <c r="Y20" i="11"/>
  <c r="X20" i="11"/>
  <c r="Z19" i="11"/>
  <c r="Y19" i="11"/>
  <c r="X19" i="11"/>
  <c r="Z18" i="11"/>
  <c r="Y18" i="11"/>
  <c r="X18" i="11"/>
  <c r="Z17" i="11"/>
  <c r="Y17" i="11"/>
  <c r="X17" i="11"/>
  <c r="Z16" i="11"/>
  <c r="Y16" i="11"/>
  <c r="X16" i="11"/>
  <c r="Z15" i="11"/>
  <c r="Y15" i="11"/>
  <c r="X15" i="11"/>
  <c r="Z14" i="11"/>
  <c r="Y14" i="11"/>
  <c r="X14" i="11"/>
  <c r="Z13" i="11"/>
  <c r="Y13" i="11"/>
  <c r="X13" i="11"/>
  <c r="Z12" i="11"/>
  <c r="Y12" i="11"/>
  <c r="X12" i="11"/>
  <c r="Z11" i="11"/>
  <c r="Y11" i="11"/>
  <c r="X11" i="11"/>
  <c r="Z10" i="11"/>
  <c r="Y10" i="11"/>
  <c r="X10" i="11"/>
  <c r="Z9" i="11"/>
  <c r="Y9" i="11"/>
  <c r="X9" i="11"/>
  <c r="Z8" i="11"/>
  <c r="Y8" i="11"/>
  <c r="X8" i="11"/>
  <c r="Z7" i="11"/>
  <c r="Y7" i="11"/>
  <c r="X7" i="11"/>
  <c r="Z6" i="11"/>
  <c r="Y6" i="11"/>
  <c r="X6" i="11"/>
  <c r="Z5" i="11"/>
  <c r="Y5" i="11"/>
  <c r="X5" i="11"/>
  <c r="Z4" i="11"/>
  <c r="Y4" i="11"/>
  <c r="X4" i="11"/>
  <c r="Z3" i="11"/>
  <c r="Y3" i="11"/>
  <c r="X3" i="11"/>
  <c r="Z22" i="10"/>
  <c r="Y22" i="10"/>
  <c r="X22" i="10"/>
  <c r="Z21" i="10"/>
  <c r="Y21" i="10"/>
  <c r="X21" i="10"/>
  <c r="Z20" i="10"/>
  <c r="Y20" i="10"/>
  <c r="X20" i="10"/>
  <c r="Z19" i="10"/>
  <c r="Y19" i="10"/>
  <c r="X19" i="10"/>
  <c r="Z18" i="10"/>
  <c r="Y18" i="10"/>
  <c r="X18" i="10"/>
  <c r="Z17" i="10"/>
  <c r="Y17" i="10"/>
  <c r="X17" i="10"/>
  <c r="Z16" i="10"/>
  <c r="Y16" i="10"/>
  <c r="X16" i="10"/>
  <c r="Z15" i="10"/>
  <c r="Y15" i="10"/>
  <c r="X15" i="10"/>
  <c r="Z14" i="10"/>
  <c r="Y14" i="10"/>
  <c r="X14" i="10"/>
  <c r="Z13" i="10"/>
  <c r="Y13" i="10"/>
  <c r="X13" i="10"/>
  <c r="Z12" i="10"/>
  <c r="Y12" i="10"/>
  <c r="X12" i="10"/>
  <c r="Z11" i="10"/>
  <c r="Y11" i="10"/>
  <c r="X11" i="10"/>
  <c r="Z10" i="10"/>
  <c r="Y10" i="10"/>
  <c r="X10" i="10"/>
  <c r="Z9" i="10"/>
  <c r="Y9" i="10"/>
  <c r="X9" i="10"/>
  <c r="Z8" i="10"/>
  <c r="Y8" i="10"/>
  <c r="X8" i="10"/>
  <c r="Z7" i="10"/>
  <c r="Y7" i="10"/>
  <c r="X7" i="10"/>
  <c r="Z6" i="10"/>
  <c r="Y6" i="10"/>
  <c r="X6" i="10"/>
  <c r="Z5" i="10"/>
  <c r="Y5" i="10"/>
  <c r="X5" i="10"/>
  <c r="Z4" i="10"/>
  <c r="Y4" i="10"/>
  <c r="X4" i="10"/>
  <c r="Z3" i="10"/>
  <c r="Y3" i="10"/>
  <c r="X3" i="10"/>
  <c r="Z22" i="9"/>
  <c r="Y22" i="9"/>
  <c r="X22" i="9"/>
  <c r="Z21" i="9"/>
  <c r="Y21" i="9"/>
  <c r="X21" i="9"/>
  <c r="Z20" i="9"/>
  <c r="Y20" i="9"/>
  <c r="X20" i="9"/>
  <c r="Z19" i="9"/>
  <c r="Y19" i="9"/>
  <c r="X19" i="9"/>
  <c r="Z18" i="9"/>
  <c r="Y18" i="9"/>
  <c r="X18" i="9"/>
  <c r="Z17" i="9"/>
  <c r="Y17" i="9"/>
  <c r="X17" i="9"/>
  <c r="Z16" i="9"/>
  <c r="Y16" i="9"/>
  <c r="X16" i="9"/>
  <c r="Z15" i="9"/>
  <c r="Y15" i="9"/>
  <c r="X15" i="9"/>
  <c r="Z14" i="9"/>
  <c r="Y14" i="9"/>
  <c r="X14" i="9"/>
  <c r="Z13" i="9"/>
  <c r="Y13" i="9"/>
  <c r="X13" i="9"/>
  <c r="Z12" i="9"/>
  <c r="Y12" i="9"/>
  <c r="X12" i="9"/>
  <c r="Z11" i="9"/>
  <c r="Y11" i="9"/>
  <c r="X11" i="9"/>
  <c r="Z10" i="9"/>
  <c r="Y10" i="9"/>
  <c r="X10" i="9"/>
  <c r="Z9" i="9"/>
  <c r="Y9" i="9"/>
  <c r="X9" i="9"/>
  <c r="Z8" i="9"/>
  <c r="Y8" i="9"/>
  <c r="X8" i="9"/>
  <c r="Z7" i="9"/>
  <c r="Y7" i="9"/>
  <c r="X7" i="9"/>
  <c r="Z6" i="9"/>
  <c r="Y6" i="9"/>
  <c r="X6" i="9"/>
  <c r="Z5" i="9"/>
  <c r="Y5" i="9"/>
  <c r="X5" i="9"/>
  <c r="Z4" i="9"/>
  <c r="Y4" i="9"/>
  <c r="X4" i="9"/>
  <c r="Z3" i="9"/>
  <c r="Y3" i="9"/>
  <c r="X3" i="9"/>
  <c r="Z22" i="8"/>
  <c r="Y22" i="8"/>
  <c r="X22" i="8"/>
  <c r="Z21" i="8"/>
  <c r="Y21" i="8"/>
  <c r="X21" i="8"/>
  <c r="Z20" i="8"/>
  <c r="Y20" i="8"/>
  <c r="X20" i="8"/>
  <c r="Z19" i="8"/>
  <c r="Y19" i="8"/>
  <c r="X19" i="8"/>
  <c r="Z18" i="8"/>
  <c r="Y18" i="8"/>
  <c r="X18" i="8"/>
  <c r="Z17" i="8"/>
  <c r="Y17" i="8"/>
  <c r="X17" i="8"/>
  <c r="Z16" i="8"/>
  <c r="Y16" i="8"/>
  <c r="X16" i="8"/>
  <c r="Z15" i="8"/>
  <c r="Y15" i="8"/>
  <c r="X15" i="8"/>
  <c r="Z14" i="8"/>
  <c r="Y14" i="8"/>
  <c r="X14" i="8"/>
  <c r="Z13" i="8"/>
  <c r="Y13" i="8"/>
  <c r="X13" i="8"/>
  <c r="Z12" i="8"/>
  <c r="Y12" i="8"/>
  <c r="X12" i="8"/>
  <c r="Z11" i="8"/>
  <c r="Y11" i="8"/>
  <c r="X11" i="8"/>
  <c r="Z10" i="8"/>
  <c r="Y10" i="8"/>
  <c r="X10" i="8"/>
  <c r="Z9" i="8"/>
  <c r="Y9" i="8"/>
  <c r="X9" i="8"/>
  <c r="Z8" i="8"/>
  <c r="Y8" i="8"/>
  <c r="X8" i="8"/>
  <c r="Z7" i="8"/>
  <c r="Y7" i="8"/>
  <c r="X7" i="8"/>
  <c r="Z6" i="8"/>
  <c r="Y6" i="8"/>
  <c r="X6" i="8"/>
  <c r="Z5" i="8"/>
  <c r="Y5" i="8"/>
  <c r="X5" i="8"/>
  <c r="Z4" i="8"/>
  <c r="Y4" i="8"/>
  <c r="X4" i="8"/>
  <c r="Z3" i="8"/>
  <c r="Y3" i="8"/>
  <c r="X3" i="8"/>
  <c r="Z22" i="7"/>
  <c r="Y22" i="7"/>
  <c r="X22" i="7"/>
  <c r="Z21" i="7"/>
  <c r="Y21" i="7"/>
  <c r="X21" i="7"/>
  <c r="Z20" i="7"/>
  <c r="Y20" i="7"/>
  <c r="X20" i="7"/>
  <c r="Z19" i="7"/>
  <c r="Y19" i="7"/>
  <c r="X19" i="7"/>
  <c r="Z18" i="7"/>
  <c r="Y18" i="7"/>
  <c r="X18" i="7"/>
  <c r="Z17" i="7"/>
  <c r="Y17" i="7"/>
  <c r="X17" i="7"/>
  <c r="Z16" i="7"/>
  <c r="Y16" i="7"/>
  <c r="X16" i="7"/>
  <c r="Z15" i="7"/>
  <c r="Y15" i="7"/>
  <c r="X15" i="7"/>
  <c r="Z14" i="7"/>
  <c r="Y14" i="7"/>
  <c r="X14" i="7"/>
  <c r="Z13" i="7"/>
  <c r="Y13" i="7"/>
  <c r="X13" i="7"/>
  <c r="Z12" i="7"/>
  <c r="Y12" i="7"/>
  <c r="X12" i="7"/>
  <c r="Z11" i="7"/>
  <c r="Y11" i="7"/>
  <c r="X11" i="7"/>
  <c r="Z10" i="7"/>
  <c r="Y10" i="7"/>
  <c r="X10" i="7"/>
  <c r="Z9" i="7"/>
  <c r="Y9" i="7"/>
  <c r="X9" i="7"/>
  <c r="Z8" i="7"/>
  <c r="Y8" i="7"/>
  <c r="X8" i="7"/>
  <c r="Z7" i="7"/>
  <c r="Y7" i="7"/>
  <c r="X7" i="7"/>
  <c r="Z6" i="7"/>
  <c r="Y6" i="7"/>
  <c r="X6" i="7"/>
  <c r="Z5" i="7"/>
  <c r="Y5" i="7"/>
  <c r="X5" i="7"/>
  <c r="Z4" i="7"/>
  <c r="Y4" i="7"/>
  <c r="X4" i="7"/>
  <c r="Z3" i="7"/>
  <c r="Y3" i="7"/>
  <c r="X3" i="7"/>
  <c r="Z22" i="6"/>
  <c r="Y22" i="6"/>
  <c r="X22" i="6"/>
  <c r="Z21" i="6"/>
  <c r="Y21" i="6"/>
  <c r="X21" i="6"/>
  <c r="Z20" i="6"/>
  <c r="Y20" i="6"/>
  <c r="X20" i="6"/>
  <c r="Z19" i="6"/>
  <c r="Y19" i="6"/>
  <c r="X19" i="6"/>
  <c r="Z18" i="6"/>
  <c r="Y18" i="6"/>
  <c r="X18" i="6"/>
  <c r="Z17" i="6"/>
  <c r="Y17" i="6"/>
  <c r="X17" i="6"/>
  <c r="Z16" i="6"/>
  <c r="Y16" i="6"/>
  <c r="X16" i="6"/>
  <c r="Z15" i="6"/>
  <c r="Y15" i="6"/>
  <c r="X15" i="6"/>
  <c r="Z14" i="6"/>
  <c r="Y14" i="6"/>
  <c r="X14" i="6"/>
  <c r="Z13" i="6"/>
  <c r="Y13" i="6"/>
  <c r="X13" i="6"/>
  <c r="Z12" i="6"/>
  <c r="Y12" i="6"/>
  <c r="X12" i="6"/>
  <c r="Z11" i="6"/>
  <c r="Y11" i="6"/>
  <c r="X11" i="6"/>
  <c r="Z10" i="6"/>
  <c r="Y10" i="6"/>
  <c r="X10" i="6"/>
  <c r="Z9" i="6"/>
  <c r="Y9" i="6"/>
  <c r="X9" i="6"/>
  <c r="Z8" i="6"/>
  <c r="Y8" i="6"/>
  <c r="X8" i="6"/>
  <c r="Z7" i="6"/>
  <c r="Y7" i="6"/>
  <c r="X7" i="6"/>
  <c r="Z6" i="6"/>
  <c r="Y6" i="6"/>
  <c r="X6" i="6"/>
  <c r="Z5" i="6"/>
  <c r="Y5" i="6"/>
  <c r="X5" i="6"/>
  <c r="Z4" i="6"/>
  <c r="Y4" i="6"/>
  <c r="X4" i="6"/>
  <c r="Z3" i="6"/>
  <c r="Y3" i="6"/>
  <c r="X3" i="6"/>
  <c r="Z22" i="5"/>
  <c r="Y22" i="5"/>
  <c r="X22" i="5"/>
  <c r="Z21" i="5"/>
  <c r="Y21" i="5"/>
  <c r="X21" i="5"/>
  <c r="Z20" i="5"/>
  <c r="Y20" i="5"/>
  <c r="X20" i="5"/>
  <c r="Z19" i="5"/>
  <c r="Y19" i="5"/>
  <c r="X19" i="5"/>
  <c r="Z18" i="5"/>
  <c r="Y18" i="5"/>
  <c r="X18" i="5"/>
  <c r="Z17" i="5"/>
  <c r="Y17" i="5"/>
  <c r="X17" i="5"/>
  <c r="Z16" i="5"/>
  <c r="Y16" i="5"/>
  <c r="X16" i="5"/>
  <c r="Z15" i="5"/>
  <c r="Y15" i="5"/>
  <c r="X15" i="5"/>
  <c r="Z14" i="5"/>
  <c r="Y14" i="5"/>
  <c r="X14" i="5"/>
  <c r="Z13" i="5"/>
  <c r="Y13" i="5"/>
  <c r="X13" i="5"/>
  <c r="Z12" i="5"/>
  <c r="Y12" i="5"/>
  <c r="X12" i="5"/>
  <c r="Z11" i="5"/>
  <c r="Y11" i="5"/>
  <c r="X11" i="5"/>
  <c r="Z10" i="5"/>
  <c r="Y10" i="5"/>
  <c r="X10" i="5"/>
  <c r="Z9" i="5"/>
  <c r="Y9" i="5"/>
  <c r="X9" i="5"/>
  <c r="Z8" i="5"/>
  <c r="Y8" i="5"/>
  <c r="X8" i="5"/>
  <c r="Z7" i="5"/>
  <c r="Y7" i="5"/>
  <c r="X7" i="5"/>
  <c r="Z6" i="5"/>
  <c r="Y6" i="5"/>
  <c r="X6" i="5"/>
  <c r="Z5" i="5"/>
  <c r="Y5" i="5"/>
  <c r="X5" i="5"/>
  <c r="Z4" i="5"/>
  <c r="Y4" i="5"/>
  <c r="X4" i="5"/>
  <c r="Z3" i="5"/>
  <c r="Y3" i="5"/>
  <c r="X3" i="5"/>
  <c r="Z22" i="4"/>
  <c r="Y22" i="4"/>
  <c r="X22" i="4"/>
  <c r="Z21" i="4"/>
  <c r="Y21" i="4"/>
  <c r="X21" i="4"/>
  <c r="Z20" i="4"/>
  <c r="Y20" i="4"/>
  <c r="X20" i="4"/>
  <c r="Z19" i="4"/>
  <c r="Y19" i="4"/>
  <c r="X19" i="4"/>
  <c r="Z18" i="4"/>
  <c r="Y18" i="4"/>
  <c r="X18" i="4"/>
  <c r="Z17" i="4"/>
  <c r="Y17" i="4"/>
  <c r="X17" i="4"/>
  <c r="Z16" i="4"/>
  <c r="Y16" i="4"/>
  <c r="X16" i="4"/>
  <c r="Z15" i="4"/>
  <c r="Y15" i="4"/>
  <c r="X15" i="4"/>
  <c r="Z14" i="4"/>
  <c r="Y14" i="4"/>
  <c r="X14" i="4"/>
  <c r="Z13" i="4"/>
  <c r="Y13" i="4"/>
  <c r="X13" i="4"/>
  <c r="Z12" i="4"/>
  <c r="Y12" i="4"/>
  <c r="X12" i="4"/>
  <c r="Z11" i="4"/>
  <c r="Y11" i="4"/>
  <c r="X11" i="4"/>
  <c r="Z10" i="4"/>
  <c r="Y10" i="4"/>
  <c r="X10" i="4"/>
  <c r="Z9" i="4"/>
  <c r="Y9" i="4"/>
  <c r="X9" i="4"/>
  <c r="Z8" i="4"/>
  <c r="Y8" i="4"/>
  <c r="X8" i="4"/>
  <c r="Z7" i="4"/>
  <c r="Y7" i="4"/>
  <c r="X7" i="4"/>
  <c r="Z6" i="4"/>
  <c r="Y6" i="4"/>
  <c r="X6" i="4"/>
  <c r="Z5" i="4"/>
  <c r="Y5" i="4"/>
  <c r="X5" i="4"/>
  <c r="Z4" i="4"/>
  <c r="Y4" i="4"/>
  <c r="X4" i="4"/>
  <c r="Z3" i="4"/>
  <c r="Y3" i="4"/>
  <c r="X3" i="4"/>
  <c r="Z22" i="3"/>
  <c r="Y22" i="3"/>
  <c r="X22" i="3"/>
  <c r="Z21" i="3"/>
  <c r="Y21" i="3"/>
  <c r="X21" i="3"/>
  <c r="Z20" i="3"/>
  <c r="Y20" i="3"/>
  <c r="X20" i="3"/>
  <c r="Z19" i="3"/>
  <c r="Y19" i="3"/>
  <c r="X19" i="3"/>
  <c r="Z18" i="3"/>
  <c r="Y18" i="3"/>
  <c r="X18" i="3"/>
  <c r="Z17" i="3"/>
  <c r="Y17" i="3"/>
  <c r="X17" i="3"/>
  <c r="Z16" i="3"/>
  <c r="Y16" i="3"/>
  <c r="X16" i="3"/>
  <c r="Z15" i="3"/>
  <c r="Y15" i="3"/>
  <c r="X15" i="3"/>
  <c r="Z14" i="3"/>
  <c r="Y14" i="3"/>
  <c r="X14" i="3"/>
  <c r="Z13" i="3"/>
  <c r="Y13" i="3"/>
  <c r="X13" i="3"/>
  <c r="Z12" i="3"/>
  <c r="Y12" i="3"/>
  <c r="X12" i="3"/>
  <c r="Z11" i="3"/>
  <c r="Y11" i="3"/>
  <c r="X11" i="3"/>
  <c r="Z10" i="3"/>
  <c r="Y10" i="3"/>
  <c r="X10" i="3"/>
  <c r="Z9" i="3"/>
  <c r="Y9" i="3"/>
  <c r="X9" i="3"/>
  <c r="Z8" i="3"/>
  <c r="Y8" i="3"/>
  <c r="X8" i="3"/>
  <c r="Z7" i="3"/>
  <c r="Y7" i="3"/>
  <c r="X7" i="3"/>
  <c r="Z6" i="3"/>
  <c r="Y6" i="3"/>
  <c r="X6" i="3"/>
  <c r="Z5" i="3"/>
  <c r="Y5" i="3"/>
  <c r="X5" i="3"/>
  <c r="Z4" i="3"/>
  <c r="Y4" i="3"/>
  <c r="X4" i="3"/>
  <c r="Y3" i="3"/>
  <c r="X3" i="3"/>
  <c r="Z22" i="2"/>
  <c r="Y22" i="2"/>
  <c r="X22" i="2"/>
  <c r="Z21" i="2"/>
  <c r="Y21" i="2"/>
  <c r="X21" i="2"/>
  <c r="Z20" i="2"/>
  <c r="Y20" i="2"/>
  <c r="X20" i="2"/>
  <c r="Z19" i="2"/>
  <c r="Y19" i="2"/>
  <c r="X19" i="2"/>
  <c r="Z18" i="2"/>
  <c r="Y18" i="2"/>
  <c r="X18" i="2"/>
  <c r="Z17" i="2"/>
  <c r="Y17" i="2"/>
  <c r="X17" i="2"/>
  <c r="Z16" i="2"/>
  <c r="Y16" i="2"/>
  <c r="X16" i="2"/>
  <c r="Z15" i="2"/>
  <c r="Y15" i="2"/>
  <c r="X15" i="2"/>
  <c r="Z14" i="2"/>
  <c r="Y14" i="2"/>
  <c r="X14" i="2"/>
  <c r="Z13" i="2"/>
  <c r="Y13" i="2"/>
  <c r="X13" i="2"/>
  <c r="Z12" i="2"/>
  <c r="Y12" i="2"/>
  <c r="X12" i="2"/>
  <c r="Z11" i="2"/>
  <c r="Y11" i="2"/>
  <c r="X11" i="2"/>
  <c r="Z10" i="2"/>
  <c r="Y10" i="2"/>
  <c r="X10" i="2"/>
  <c r="Z9" i="2"/>
  <c r="Y9" i="2"/>
  <c r="X9" i="2"/>
  <c r="Z8" i="2"/>
  <c r="Y8" i="2"/>
  <c r="X8" i="2"/>
  <c r="Z7" i="2"/>
  <c r="Y7" i="2"/>
  <c r="X7" i="2"/>
  <c r="Z6" i="2"/>
  <c r="Y6" i="2"/>
  <c r="X6" i="2"/>
  <c r="Z5" i="2"/>
  <c r="Y5" i="2"/>
  <c r="X5" i="2"/>
  <c r="Z4" i="2"/>
  <c r="Y4" i="2"/>
  <c r="X4" i="2"/>
  <c r="Z3" i="2"/>
  <c r="Y3" i="2"/>
  <c r="X3" i="2"/>
</calcChain>
</file>

<file path=xl/sharedStrings.xml><?xml version="1.0" encoding="utf-8"?>
<sst xmlns="http://schemas.openxmlformats.org/spreadsheetml/2006/main" count="879" uniqueCount="108">
  <si>
    <t>클리닉 시간</t>
  </si>
  <si>
    <t>수강반</t>
  </si>
  <si>
    <t>학교</t>
  </si>
  <si>
    <t>학생명</t>
  </si>
  <si>
    <t>월요일 5시</t>
  </si>
  <si>
    <t>토요일 풍산고2</t>
  </si>
  <si>
    <t>풍산고</t>
  </si>
  <si>
    <t>이연서</t>
  </si>
  <si>
    <t>월요일 6시</t>
  </si>
  <si>
    <t>토요일 미강고2</t>
  </si>
  <si>
    <t>미강고</t>
  </si>
  <si>
    <t>장서진</t>
  </si>
  <si>
    <t>최근화</t>
  </si>
  <si>
    <t>원태희</t>
  </si>
  <si>
    <t>월요일 6시 반</t>
  </si>
  <si>
    <t>김유경</t>
  </si>
  <si>
    <t>월요일 8시</t>
  </si>
  <si>
    <t>일요일 미강고2</t>
  </si>
  <si>
    <t>강예랑</t>
  </si>
  <si>
    <t>양수영</t>
  </si>
  <si>
    <t>화요일 8시</t>
  </si>
  <si>
    <t>우용빈</t>
  </si>
  <si>
    <t>목요일 5시</t>
  </si>
  <si>
    <t>서우빈</t>
  </si>
  <si>
    <t>일요일 미사고2</t>
  </si>
  <si>
    <t>미사고</t>
  </si>
  <si>
    <t>이혜영</t>
  </si>
  <si>
    <t>토요일 고1</t>
  </si>
  <si>
    <t>김지유</t>
  </si>
  <si>
    <t>이서후</t>
  </si>
  <si>
    <t>임채은</t>
  </si>
  <si>
    <t>최영완</t>
  </si>
  <si>
    <t>최채랑</t>
  </si>
  <si>
    <t>목요일 5시 반</t>
  </si>
  <si>
    <t>이다경</t>
  </si>
  <si>
    <t>목요일 6시</t>
  </si>
  <si>
    <t>김민채</t>
  </si>
  <si>
    <t>박수혁</t>
  </si>
  <si>
    <t>이유림</t>
  </si>
  <si>
    <t>목요일 7시</t>
  </si>
  <si>
    <t>양창준</t>
  </si>
  <si>
    <t>목요일 8시</t>
  </si>
  <si>
    <t>월요일 고2</t>
  </si>
  <si>
    <t>하남고</t>
  </si>
  <si>
    <t>이다희</t>
  </si>
  <si>
    <t>배소희</t>
  </si>
  <si>
    <t>금요일 1시</t>
  </si>
  <si>
    <t>박서연</t>
  </si>
  <si>
    <t>금요일 5시</t>
  </si>
  <si>
    <t>이서아</t>
  </si>
  <si>
    <t>곽윤서</t>
  </si>
  <si>
    <t>박예선</t>
  </si>
  <si>
    <t>김채현</t>
  </si>
  <si>
    <t>유채연</t>
  </si>
  <si>
    <t>토요일 12시</t>
  </si>
  <si>
    <t>수요일 고1</t>
  </si>
  <si>
    <t>손하연</t>
  </si>
  <si>
    <t>이시혁</t>
  </si>
  <si>
    <t>토요일 1시</t>
  </si>
  <si>
    <t>김승은</t>
  </si>
  <si>
    <t>1주차</t>
  </si>
  <si>
    <t>2주차</t>
  </si>
  <si>
    <t>3주차</t>
  </si>
  <si>
    <t>4주차</t>
  </si>
  <si>
    <t>월간 통계</t>
  </si>
  <si>
    <t>비고 (특이사항)</t>
  </si>
  <si>
    <t>수업 출석</t>
  </si>
  <si>
    <t>클리닉 출석</t>
  </si>
  <si>
    <t>숙제1</t>
  </si>
  <si>
    <t>숙제2</t>
  </si>
  <si>
    <t>숙제3</t>
  </si>
  <si>
    <t>수업 출석률</t>
  </si>
  <si>
    <t>클리닉 출석률</t>
  </si>
  <si>
    <t>과제수행률</t>
  </si>
  <si>
    <t>손가연</t>
  </si>
  <si>
    <t>결석</t>
  </si>
  <si>
    <t>김지율</t>
  </si>
  <si>
    <t>출석</t>
  </si>
  <si>
    <t>완료</t>
  </si>
  <si>
    <t>미흡</t>
  </si>
  <si>
    <t>이명혁</t>
  </si>
  <si>
    <t>임효섭</t>
  </si>
  <si>
    <t>신지호</t>
  </si>
  <si>
    <t>김정훈</t>
  </si>
  <si>
    <t>김현진</t>
  </si>
  <si>
    <t>임해린</t>
  </si>
  <si>
    <t>허유빈</t>
  </si>
  <si>
    <t>라예은</t>
  </si>
  <si>
    <t>김주아</t>
  </si>
  <si>
    <t>이윤규</t>
  </si>
  <si>
    <t>이채은</t>
  </si>
  <si>
    <t>이채안</t>
  </si>
  <si>
    <t>강지윤</t>
  </si>
  <si>
    <t>이혜승</t>
  </si>
  <si>
    <t>유소은</t>
  </si>
  <si>
    <t>강승윤</t>
  </si>
  <si>
    <t>이승빈</t>
  </si>
  <si>
    <t>지각</t>
  </si>
  <si>
    <t>이예원</t>
  </si>
  <si>
    <t>송혜민</t>
  </si>
  <si>
    <t>송혜윤</t>
  </si>
  <si>
    <t>이정빈</t>
  </si>
  <si>
    <t>화요일 5시</t>
  </si>
  <si>
    <t>목요일 7시</t>
    <phoneticPr fontId="4" type="noConversion"/>
  </si>
  <si>
    <t>장혜원</t>
    <phoneticPr fontId="4" type="noConversion"/>
  </si>
  <si>
    <t>월요일 4시</t>
    <phoneticPr fontId="4" type="noConversion"/>
  </si>
  <si>
    <t>월요일 7시</t>
    <phoneticPr fontId="4" type="noConversion"/>
  </si>
  <si>
    <t>화요일 5시 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</si>
</sst>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0"/>
      <color rgb="FFFFFFFF"/>
      <name val="맑은 고딕"/>
      <family val="3"/>
      <charset val="129"/>
    </font>
    <font>
      <b/>
      <sz val="10"/>
      <name val="맑은 고딕"/>
      <family val="3"/>
      <charset val="129"/>
    </font>
    <font>
      <sz val="10"/>
      <name val="맑은 고딕"/>
      <family val="3"/>
      <charset val="129"/>
    </font>
    <font>
      <sz val="8"/>
      <name val="맑은 고딕"/>
      <family val="3"/>
      <charset val="129"/>
      <scheme val="minor"/>
    </font>
    <font>
      <b/>
      <sz val="11"/>
      <name val="맑은 고딕"/>
      <family val="3"/>
      <charset val="129"/>
    </font>
  </fonts>
  <fills count="6">
    <fill>
      <patternFill patternType="none"/>
    </fill>
    <fill>
      <patternFill patternType="gray125"/>
    </fill>
    <fill>
      <patternFill patternType="solid">
        <fgColor rgb="FF2F5597"/>
        <bgColor rgb="FF2F5597"/>
      </patternFill>
    </fill>
    <fill>
      <patternFill patternType="solid">
        <fgColor rgb="FFD9E1F2"/>
        <bgColor rgb="FFD9E1F2"/>
      </patternFill>
    </fill>
    <fill>
      <patternFill patternType="solid">
        <fgColor rgb="FFF2F2F2"/>
        <bgColor rgb="FFF2F2F2"/>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9" fontId="2"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5" borderId="1" xfId="0" applyFont="1" applyFill="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1" fillId="2" borderId="1" xfId="0" applyFont="1" applyFill="1" applyBorder="1" applyAlignment="1">
      <alignment horizontal="center" vertical="center"/>
    </xf>
    <xf numFmtId="0" fontId="0" fillId="0" borderId="2" xfId="0" applyBorder="1"/>
    <xf numFmtId="0" fontId="0" fillId="0" borderId="3" xfId="0" applyBorder="1"/>
    <xf numFmtId="0" fontId="0" fillId="0" borderId="4" xfId="0" applyBorder="1"/>
  </cellXfs>
  <cellStyles count="1">
    <cellStyle name="표준" xfId="0" builtinId="0"/>
  </cellStyles>
  <dxfs count="55">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
      <font>
        <b/>
        <sz val="10"/>
        <color rgb="FFD2691E"/>
        <name val="맑은 고딕"/>
      </font>
    </dxf>
    <dxf>
      <font>
        <b/>
        <sz val="10"/>
        <color rgb="FFFF0000"/>
        <name val="맑은 고딕"/>
      </font>
    </dxf>
    <dxf>
      <font>
        <b/>
        <sz val="10"/>
        <color rgb="FF00B050"/>
        <name val="맑은 고딕"/>
      </font>
    </dxf>
    <dxf>
      <font>
        <b/>
        <sz val="10"/>
        <color rgb="FFFF0000"/>
        <name val="맑은 고딕"/>
      </font>
    </dxf>
    <dxf>
      <font>
        <b/>
        <sz val="10"/>
        <color rgb="FF0070C0"/>
        <name val="맑은 고딕"/>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workbookViewId="0">
      <selection activeCell="D32" sqref="D32"/>
    </sheetView>
  </sheetViews>
  <sheetFormatPr defaultRowHeight="16.5" x14ac:dyDescent="0.3"/>
  <cols>
    <col min="1" max="1" width="15.125" customWidth="1"/>
    <col min="2" max="2" width="24.5" customWidth="1"/>
    <col min="3" max="3" width="26.375" customWidth="1"/>
    <col min="4" max="4" width="33.125" customWidth="1"/>
  </cols>
  <sheetData>
    <row r="1" spans="1:4" x14ac:dyDescent="0.3">
      <c r="A1" s="8" t="s">
        <v>0</v>
      </c>
      <c r="B1" s="8" t="s">
        <v>1</v>
      </c>
      <c r="C1" s="8" t="s">
        <v>2</v>
      </c>
      <c r="D1" s="8" t="s">
        <v>3</v>
      </c>
    </row>
    <row r="2" spans="1:4" x14ac:dyDescent="0.3">
      <c r="A2" s="10" t="s">
        <v>4</v>
      </c>
      <c r="B2" s="10" t="s">
        <v>5</v>
      </c>
      <c r="C2" s="10" t="s">
        <v>6</v>
      </c>
      <c r="D2" s="10" t="s">
        <v>7</v>
      </c>
    </row>
    <row r="3" spans="1:4" x14ac:dyDescent="0.3">
      <c r="A3" s="10" t="s">
        <v>8</v>
      </c>
      <c r="B3" s="10" t="s">
        <v>9</v>
      </c>
      <c r="C3" s="10" t="s">
        <v>10</v>
      </c>
      <c r="D3" s="10" t="s">
        <v>11</v>
      </c>
    </row>
    <row r="4" spans="1:4" x14ac:dyDescent="0.3">
      <c r="A4" s="10" t="s">
        <v>8</v>
      </c>
      <c r="B4" s="10" t="s">
        <v>9</v>
      </c>
      <c r="C4" s="10" t="s">
        <v>10</v>
      </c>
      <c r="D4" s="10" t="s">
        <v>12</v>
      </c>
    </row>
    <row r="5" spans="1:4" x14ac:dyDescent="0.3">
      <c r="A5" s="10" t="s">
        <v>8</v>
      </c>
      <c r="B5" s="10" t="s">
        <v>5</v>
      </c>
      <c r="C5" s="10" t="s">
        <v>6</v>
      </c>
      <c r="D5" s="10" t="s">
        <v>13</v>
      </c>
    </row>
    <row r="6" spans="1:4" x14ac:dyDescent="0.3">
      <c r="A6" s="10" t="s">
        <v>14</v>
      </c>
      <c r="B6" s="10" t="s">
        <v>5</v>
      </c>
      <c r="C6" s="10" t="s">
        <v>6</v>
      </c>
      <c r="D6" s="10" t="s">
        <v>15</v>
      </c>
    </row>
    <row r="7" spans="1:4" x14ac:dyDescent="0.3">
      <c r="A7" s="10" t="s">
        <v>16</v>
      </c>
      <c r="B7" s="10" t="s">
        <v>17</v>
      </c>
      <c r="C7" s="10" t="s">
        <v>10</v>
      </c>
      <c r="D7" s="10" t="s">
        <v>18</v>
      </c>
    </row>
    <row r="8" spans="1:4" x14ac:dyDescent="0.3">
      <c r="A8" s="10" t="s">
        <v>16</v>
      </c>
      <c r="B8" s="10" t="s">
        <v>17</v>
      </c>
      <c r="C8" s="10" t="s">
        <v>10</v>
      </c>
      <c r="D8" s="10" t="s">
        <v>19</v>
      </c>
    </row>
    <row r="9" spans="1:4" x14ac:dyDescent="0.3">
      <c r="A9" s="9" t="s">
        <v>20</v>
      </c>
      <c r="B9" s="9" t="s">
        <v>17</v>
      </c>
      <c r="C9" s="9" t="s">
        <v>10</v>
      </c>
      <c r="D9" s="9" t="s">
        <v>21</v>
      </c>
    </row>
    <row r="10" spans="1:4" x14ac:dyDescent="0.3">
      <c r="A10" s="10" t="s">
        <v>22</v>
      </c>
      <c r="B10" s="10" t="s">
        <v>17</v>
      </c>
      <c r="C10" s="10" t="s">
        <v>10</v>
      </c>
      <c r="D10" s="10" t="s">
        <v>23</v>
      </c>
    </row>
    <row r="11" spans="1:4" x14ac:dyDescent="0.3">
      <c r="A11" s="9" t="s">
        <v>22</v>
      </c>
      <c r="B11" s="9" t="s">
        <v>24</v>
      </c>
      <c r="C11" s="9" t="s">
        <v>25</v>
      </c>
      <c r="D11" s="9" t="s">
        <v>26</v>
      </c>
    </row>
    <row r="12" spans="1:4" x14ac:dyDescent="0.3">
      <c r="A12" s="10" t="s">
        <v>22</v>
      </c>
      <c r="B12" s="10" t="s">
        <v>27</v>
      </c>
      <c r="C12" s="10" t="s">
        <v>10</v>
      </c>
      <c r="D12" s="10" t="s">
        <v>28</v>
      </c>
    </row>
    <row r="13" spans="1:4" x14ac:dyDescent="0.3">
      <c r="A13" s="10" t="s">
        <v>22</v>
      </c>
      <c r="B13" s="10" t="s">
        <v>9</v>
      </c>
      <c r="C13" s="10" t="s">
        <v>10</v>
      </c>
      <c r="D13" s="10" t="s">
        <v>29</v>
      </c>
    </row>
    <row r="14" spans="1:4" x14ac:dyDescent="0.3">
      <c r="A14" s="10" t="s">
        <v>22</v>
      </c>
      <c r="B14" s="10" t="s">
        <v>9</v>
      </c>
      <c r="C14" s="10" t="s">
        <v>10</v>
      </c>
      <c r="D14" s="10" t="s">
        <v>30</v>
      </c>
    </row>
    <row r="15" spans="1:4" x14ac:dyDescent="0.3">
      <c r="A15" s="10" t="s">
        <v>22</v>
      </c>
      <c r="B15" s="10" t="s">
        <v>9</v>
      </c>
      <c r="C15" s="10" t="s">
        <v>10</v>
      </c>
      <c r="D15" s="10" t="s">
        <v>31</v>
      </c>
    </row>
    <row r="16" spans="1:4" x14ac:dyDescent="0.3">
      <c r="A16" s="9" t="s">
        <v>22</v>
      </c>
      <c r="B16" s="9" t="s">
        <v>9</v>
      </c>
      <c r="C16" s="9" t="s">
        <v>10</v>
      </c>
      <c r="D16" s="9" t="s">
        <v>32</v>
      </c>
    </row>
    <row r="17" spans="1:4" x14ac:dyDescent="0.3">
      <c r="A17" s="10" t="s">
        <v>33</v>
      </c>
      <c r="B17" s="10" t="s">
        <v>5</v>
      </c>
      <c r="C17" s="10" t="s">
        <v>6</v>
      </c>
      <c r="D17" s="10" t="s">
        <v>34</v>
      </c>
    </row>
    <row r="18" spans="1:4" x14ac:dyDescent="0.3">
      <c r="A18" s="10" t="s">
        <v>35</v>
      </c>
      <c r="B18" s="10" t="s">
        <v>17</v>
      </c>
      <c r="C18" s="10" t="s">
        <v>10</v>
      </c>
      <c r="D18" s="10" t="s">
        <v>36</v>
      </c>
    </row>
    <row r="19" spans="1:4" x14ac:dyDescent="0.3">
      <c r="A19" s="10" t="s">
        <v>35</v>
      </c>
      <c r="B19" s="10" t="s">
        <v>17</v>
      </c>
      <c r="C19" s="10" t="s">
        <v>10</v>
      </c>
      <c r="D19" s="10" t="s">
        <v>37</v>
      </c>
    </row>
    <row r="20" spans="1:4" x14ac:dyDescent="0.3">
      <c r="A20" s="10" t="s">
        <v>35</v>
      </c>
      <c r="B20" s="10" t="s">
        <v>5</v>
      </c>
      <c r="C20" s="10" t="s">
        <v>6</v>
      </c>
      <c r="D20" s="10" t="s">
        <v>38</v>
      </c>
    </row>
    <row r="21" spans="1:4" x14ac:dyDescent="0.3">
      <c r="A21" s="10" t="s">
        <v>39</v>
      </c>
      <c r="B21" s="10" t="s">
        <v>17</v>
      </c>
      <c r="C21" s="10" t="s">
        <v>10</v>
      </c>
      <c r="D21" s="10" t="s">
        <v>40</v>
      </c>
    </row>
    <row r="22" spans="1:4" x14ac:dyDescent="0.3">
      <c r="A22" s="10" t="s">
        <v>41</v>
      </c>
      <c r="B22" s="10" t="s">
        <v>42</v>
      </c>
      <c r="C22" s="10" t="s">
        <v>43</v>
      </c>
      <c r="D22" s="10" t="s">
        <v>44</v>
      </c>
    </row>
    <row r="23" spans="1:4" x14ac:dyDescent="0.3">
      <c r="A23" s="9" t="s">
        <v>41</v>
      </c>
      <c r="B23" s="9" t="s">
        <v>9</v>
      </c>
      <c r="C23" s="9" t="s">
        <v>10</v>
      </c>
      <c r="D23" s="9" t="s">
        <v>45</v>
      </c>
    </row>
    <row r="24" spans="1:4" x14ac:dyDescent="0.3">
      <c r="A24" s="9" t="s">
        <v>46</v>
      </c>
      <c r="B24" s="9" t="s">
        <v>24</v>
      </c>
      <c r="C24" s="9" t="s">
        <v>25</v>
      </c>
      <c r="D24" s="9" t="s">
        <v>47</v>
      </c>
    </row>
    <row r="25" spans="1:4" x14ac:dyDescent="0.3">
      <c r="A25" s="9" t="s">
        <v>48</v>
      </c>
      <c r="B25" s="9" t="s">
        <v>42</v>
      </c>
      <c r="C25" s="9" t="s">
        <v>43</v>
      </c>
      <c r="D25" s="9" t="s">
        <v>49</v>
      </c>
    </row>
    <row r="26" spans="1:4" x14ac:dyDescent="0.3">
      <c r="A26" s="9" t="s">
        <v>48</v>
      </c>
      <c r="B26" s="9" t="s">
        <v>24</v>
      </c>
      <c r="C26" s="9" t="s">
        <v>25</v>
      </c>
      <c r="D26" s="9" t="s">
        <v>50</v>
      </c>
    </row>
    <row r="27" spans="1:4" x14ac:dyDescent="0.3">
      <c r="A27" s="9" t="s">
        <v>48</v>
      </c>
      <c r="B27" s="9" t="s">
        <v>24</v>
      </c>
      <c r="C27" s="9" t="s">
        <v>25</v>
      </c>
      <c r="D27" s="9" t="s">
        <v>51</v>
      </c>
    </row>
    <row r="28" spans="1:4" x14ac:dyDescent="0.3">
      <c r="A28" s="9" t="s">
        <v>48</v>
      </c>
      <c r="B28" s="9" t="s">
        <v>9</v>
      </c>
      <c r="C28" s="9" t="s">
        <v>10</v>
      </c>
      <c r="D28" s="9" t="s">
        <v>52</v>
      </c>
    </row>
    <row r="29" spans="1:4" x14ac:dyDescent="0.3">
      <c r="A29" s="9" t="s">
        <v>48</v>
      </c>
      <c r="B29" s="9" t="s">
        <v>9</v>
      </c>
      <c r="C29" s="9" t="s">
        <v>10</v>
      </c>
      <c r="D29" s="9" t="s">
        <v>53</v>
      </c>
    </row>
    <row r="30" spans="1:4" x14ac:dyDescent="0.3">
      <c r="A30" s="9" t="s">
        <v>54</v>
      </c>
      <c r="B30" s="9" t="s">
        <v>55</v>
      </c>
      <c r="C30" s="9" t="s">
        <v>43</v>
      </c>
      <c r="D30" s="9" t="s">
        <v>56</v>
      </c>
    </row>
    <row r="31" spans="1:4" x14ac:dyDescent="0.3">
      <c r="A31" s="9" t="s">
        <v>54</v>
      </c>
      <c r="B31" s="9" t="s">
        <v>55</v>
      </c>
      <c r="C31" s="9" t="s">
        <v>43</v>
      </c>
      <c r="D31" s="9" t="s">
        <v>57</v>
      </c>
    </row>
    <row r="32" spans="1:4" x14ac:dyDescent="0.3">
      <c r="A32" s="9" t="s">
        <v>58</v>
      </c>
      <c r="B32" s="9" t="s">
        <v>17</v>
      </c>
      <c r="C32" s="9" t="s">
        <v>10</v>
      </c>
      <c r="D32" s="9" t="s">
        <v>59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
  <sheetViews>
    <sheetView workbookViewId="0">
      <pane xSplit="3" ySplit="2" topLeftCell="D3" activePane="bottomRight" state="frozen"/>
      <selection pane="topRight"/>
      <selection pane="bottomLeft"/>
      <selection pane="bottomRight" activeCell="Z10" sqref="Z10"/>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74</v>
      </c>
      <c r="B3" s="3"/>
      <c r="C3" s="3"/>
      <c r="D3" s="4" t="s">
        <v>75</v>
      </c>
      <c r="E3" s="4"/>
      <c r="F3" s="4"/>
      <c r="G3" s="4"/>
      <c r="H3" s="4"/>
      <c r="I3" s="4" t="s">
        <v>75</v>
      </c>
      <c r="J3" s="4"/>
      <c r="K3" s="4"/>
      <c r="L3" s="4"/>
      <c r="M3" s="4"/>
      <c r="N3" s="4"/>
      <c r="O3" s="4"/>
      <c r="P3" s="4"/>
      <c r="Q3" s="4"/>
      <c r="R3" s="4"/>
      <c r="S3" s="4"/>
      <c r="T3" s="4"/>
      <c r="U3" s="4"/>
      <c r="V3" s="4"/>
      <c r="W3" s="4"/>
      <c r="X3" s="5">
        <f t="shared" ref="X3:X22" si="0">IF((COUNTA(D3,I3,N3,S3))=0, "", (COUNTIF(D3, "출석")+COUNTIF(I3, "출석")+COUNTIF(N3, "출석")+COUNTIF(S3, "출석"))/(COUNTA(D3,I3,N3,S3)))</f>
        <v>0</v>
      </c>
      <c r="Y3" s="5" t="str">
        <f t="shared" ref="Y3:Y22" si="1">IF((COUNTA(E3,J3,O3,T3))=0, "", (COUNTIF(E3, "출석")+COUNTIF(J3, "출석")+COUNTIF(O3, "출석")+COUNTIF(T3, "출석"))/(COUNTA(E3,J3,O3,T3)))</f>
        <v/>
      </c>
      <c r="Z3" s="5" t="str">
        <f t="shared" ref="Z3:Z22" si="2">IF((COUNTA(F3,G3,H3,K3,L3,M3,P3,Q3,R3,U3,V3,W3))=0, "", (COUNTIF(F3:H3, "완료")+COUNTIF(K3:M3, "완료")+COUNTIF(P3:R3, "완료")+COUNTIF(U3:W3, "완료"))/(COUNTA(F3,G3,H3,K3,L3,M3,P3,Q3,R3,U3,V3,W3)))</f>
        <v/>
      </c>
      <c r="AA3" s="6"/>
    </row>
    <row r="4" spans="1:27" ht="21.95" customHeight="1" x14ac:dyDescent="0.3">
      <c r="A4" s="3" t="s">
        <v>76</v>
      </c>
      <c r="B4" s="3"/>
      <c r="C4" s="3"/>
      <c r="D4" s="4" t="s">
        <v>77</v>
      </c>
      <c r="E4" s="4"/>
      <c r="F4" s="4" t="s">
        <v>78</v>
      </c>
      <c r="G4" s="4"/>
      <c r="H4" s="4"/>
      <c r="I4" s="4" t="s">
        <v>77</v>
      </c>
      <c r="J4" s="4"/>
      <c r="K4" s="4" t="s">
        <v>78</v>
      </c>
      <c r="L4" s="4"/>
      <c r="M4" s="4"/>
      <c r="N4" s="4" t="s">
        <v>77</v>
      </c>
      <c r="O4" s="4"/>
      <c r="P4" s="4" t="s">
        <v>78</v>
      </c>
      <c r="Q4" s="4"/>
      <c r="R4" s="4"/>
      <c r="S4" s="4"/>
      <c r="T4" s="4"/>
      <c r="U4" s="4"/>
      <c r="V4" s="4"/>
      <c r="W4" s="4"/>
      <c r="X4" s="5">
        <f t="shared" si="0"/>
        <v>1</v>
      </c>
      <c r="Y4" s="5" t="str">
        <f t="shared" si="1"/>
        <v/>
      </c>
      <c r="Z4" s="5">
        <f t="shared" si="2"/>
        <v>1</v>
      </c>
      <c r="AA4" s="6"/>
    </row>
    <row r="5" spans="1:27" ht="21.95" customHeight="1" x14ac:dyDescent="0.3">
      <c r="A5" s="3"/>
      <c r="B5" s="3"/>
      <c r="C5" s="3"/>
      <c r="D5" s="4"/>
      <c r="E5" s="4"/>
      <c r="F5" s="4"/>
      <c r="G5" s="4"/>
      <c r="H5" s="4"/>
      <c r="I5" s="4"/>
      <c r="J5" s="4"/>
      <c r="K5" s="4"/>
      <c r="L5" s="4"/>
      <c r="M5" s="4"/>
      <c r="N5" s="4"/>
      <c r="O5" s="4"/>
      <c r="P5" s="4"/>
      <c r="Q5" s="4"/>
      <c r="R5" s="4"/>
      <c r="S5" s="4"/>
      <c r="T5" s="4"/>
      <c r="U5" s="4"/>
      <c r="V5" s="4"/>
      <c r="W5" s="4"/>
      <c r="X5" s="5" t="str">
        <f t="shared" si="0"/>
        <v/>
      </c>
      <c r="Y5" s="5" t="str">
        <f t="shared" si="1"/>
        <v/>
      </c>
      <c r="Z5" s="5" t="str">
        <f t="shared" si="2"/>
        <v/>
      </c>
      <c r="AA5" s="6"/>
    </row>
    <row r="6" spans="1:27" ht="21.95" customHeight="1" x14ac:dyDescent="0.3">
      <c r="A6" s="3"/>
      <c r="B6" s="3"/>
      <c r="C6" s="3"/>
      <c r="D6" s="4"/>
      <c r="E6" s="4"/>
      <c r="F6" s="4"/>
      <c r="G6" s="4"/>
      <c r="H6" s="4"/>
      <c r="I6" s="4"/>
      <c r="J6" s="4"/>
      <c r="K6" s="4"/>
      <c r="L6" s="4"/>
      <c r="M6" s="4"/>
      <c r="N6" s="4"/>
      <c r="O6" s="4"/>
      <c r="P6" s="4"/>
      <c r="Q6" s="4"/>
      <c r="R6" s="4"/>
      <c r="S6" s="4"/>
      <c r="T6" s="4"/>
      <c r="U6" s="4"/>
      <c r="V6" s="4"/>
      <c r="W6" s="4"/>
      <c r="X6" s="5" t="str">
        <f t="shared" si="0"/>
        <v/>
      </c>
      <c r="Y6" s="5" t="str">
        <f t="shared" si="1"/>
        <v/>
      </c>
      <c r="Z6" s="5" t="str">
        <f t="shared" si="2"/>
        <v/>
      </c>
      <c r="AA6" s="6"/>
    </row>
    <row r="7" spans="1:27" ht="21.95" customHeight="1" x14ac:dyDescent="0.3">
      <c r="A7" s="3"/>
      <c r="B7" s="3"/>
      <c r="C7" s="3"/>
      <c r="D7" s="4"/>
      <c r="E7" s="4"/>
      <c r="F7" s="4"/>
      <c r="G7" s="4"/>
      <c r="H7" s="4"/>
      <c r="I7" s="4"/>
      <c r="J7" s="4"/>
      <c r="K7" s="4"/>
      <c r="L7" s="4"/>
      <c r="M7" s="4"/>
      <c r="N7" s="4"/>
      <c r="O7" s="4"/>
      <c r="P7" s="4"/>
      <c r="Q7" s="4"/>
      <c r="R7" s="4"/>
      <c r="S7" s="4"/>
      <c r="T7" s="4"/>
      <c r="U7" s="4"/>
      <c r="V7" s="4"/>
      <c r="W7" s="4"/>
      <c r="X7" s="5" t="str">
        <f t="shared" si="0"/>
        <v/>
      </c>
      <c r="Y7" s="5" t="str">
        <f t="shared" si="1"/>
        <v/>
      </c>
      <c r="Z7" s="5" t="str">
        <f t="shared" si="2"/>
        <v/>
      </c>
      <c r="AA7" s="6"/>
    </row>
    <row r="8" spans="1:27" ht="21.95" customHeight="1" x14ac:dyDescent="0.3">
      <c r="A8" s="3"/>
      <c r="B8" s="3"/>
      <c r="C8" s="3"/>
      <c r="D8" s="4"/>
      <c r="E8" s="4"/>
      <c r="F8" s="4"/>
      <c r="G8" s="4"/>
      <c r="H8" s="4"/>
      <c r="I8" s="4"/>
      <c r="J8" s="4"/>
      <c r="K8" s="4"/>
      <c r="L8" s="4"/>
      <c r="M8" s="4"/>
      <c r="N8" s="4"/>
      <c r="O8" s="4"/>
      <c r="P8" s="4"/>
      <c r="Q8" s="4"/>
      <c r="R8" s="4"/>
      <c r="S8" s="4"/>
      <c r="T8" s="4"/>
      <c r="U8" s="4"/>
      <c r="V8" s="4"/>
      <c r="W8" s="4"/>
      <c r="X8" s="5" t="str">
        <f t="shared" si="0"/>
        <v/>
      </c>
      <c r="Y8" s="5" t="str">
        <f t="shared" si="1"/>
        <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54" priority="1" operator="equal">
      <formula>"출석"</formula>
    </cfRule>
    <cfRule type="cellIs" dxfId="53" priority="2" operator="equal">
      <formula>"결석"</formula>
    </cfRule>
    <cfRule type="cellIs" dxfId="52" priority="3" operator="equal">
      <formula>"지각"</formula>
    </cfRule>
    <cfRule type="cellIs" dxfId="51" priority="4" operator="equal">
      <formula>"미제출"</formula>
    </cfRule>
    <cfRule type="cellIs" dxfId="50" priority="5" operator="equal">
      <formula>"미흡"</formula>
    </cfRule>
  </conditionalFormatting>
  <dataValidations count="2">
    <dataValidation type="list" allowBlank="1" error="목록에서 선택해주세요. (출석, 지각, 결석)" sqref="D3 D4 D5 D6 D7 D8 D9 D10 D11 D12 D13 D14 D15 D16 D17 D18 D19 D20 D21 D22 E3 E4 E5 E6 E7 E8 E9 E10 E11 E12 E13 E14 E15 E16 E17 E18 E19 E20 E21 E22 I3 I4 I5 I6 I7 I8 I9 I10 I11 I12 I13 I14 I15 I16 I17 I18 I19 I20 I21 I22 J3 J4 J5 J6 J7 J8 J9 J10 J11 J12 J13 J14 J15 J16 J17 J18 J19 J20 J21 J22 N3 N4 N5 N6 N7 N8 N9 N10 N11 N12 N13 N14 N15 N16 N17 N18 N19 N20 N21 N22 O3 O4 O5 O6 O7 O8 O9 O10 O11 O12 O13 O14 O15 O16 O17 O18 O19 O20 O21 O22 S3 S4 S5 S6 S7 S8 S9 S10 S11 S12 S13 S14 S15 S16 S17 S18 S19 S20 S21 S22 T3 T4 T5 T6 T7 T8 T9 T10 T11 T12 T13 T14 T15 T16 T17 T18 T19 T20 T21 T22" xr:uid="{00000000-0002-0000-0100-000000000000}">
      <formula1>"출석,지각,결석"</formula1>
    </dataValidation>
    <dataValidation type="list" allowBlank="1" error="목록에서 선택해주세요. (완료, 미흡, 미제출)" sqref="F3 F4 F5 F6 F7 F8 F9 F10 F11 F12 F13 F14 F15 F16 F17 F18 F19 F20 F21 F22 G3 G4 G5 G6 G7 G8 G9 G10 G11 G12 G13 G14 G15 G16 G17 G18 G19 G20 G21 G22 H3 H4 H5 H6 H7 H8 H9 H10 H11 H12 H13 H14 H15 H16 H17 H18 H19 H20 H21 H22 K3 K4 K5 K6 K7 K8 K9 K10 K11 K12 K13 K14 K15 K16 K17 K18 K19 K20 K21 K22 L3 L4 L5 L6 L7 L8 L9 L10 L11 L12 L13 L14 L15 L16 L17 L18 L19 L20 L21 L22 M3 M4 M5 M6 M7 M8 M9 M10 M11 M12 M13 M14 M15 M16 M17 M18 M19 M20 M21 M22 P3 P4 P5 P6 P7 P8 P9 P10 P11 P12 P13 P14 P15 P16 P17 P18 P19 P20 P21 P22 Q3 Q4 Q5 Q6 Q7 Q8 Q9 Q10 Q11 Q12 Q13 Q14 Q15 Q16 Q17 Q18 Q19 Q20 Q21 Q22 R3 R4 R5 R6 R7 R8 R9 R10 R11 R12 R13 R14 R15 R16 R17 R18 R19 R20 R21 R22 U3 U4 U5 U6 U7 U8 U9 U10 U11 U12 U13 U14 U15 U16 U17 U18 U19 U20 U21 U22 V3 V4 V5 V6 V7 V8 V9 V10 V11 V12 V13 V14 V15 V16 V17 V18 V19 V20 V21 V22 W3 W4 W5 W6 W7 W8 W9 W10 W11 W12 W13 W14 W15 W16 W17 W18 W19 W20 W21 W22" xr:uid="{00000000-0002-0000-0100-000001000000}">
      <formula1>"완료,미흡,미제출"</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
  <sheetViews>
    <sheetView workbookViewId="0">
      <pane xSplit="3" ySplit="2" topLeftCell="D3" activePane="bottomRight" state="frozen"/>
      <selection pane="topRight"/>
      <selection pane="bottomLeft"/>
      <selection pane="bottomRight" activeCell="O3" sqref="O3"/>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56</v>
      </c>
      <c r="B3" s="3" t="s">
        <v>43</v>
      </c>
      <c r="C3" s="3" t="s">
        <v>54</v>
      </c>
      <c r="D3" s="4" t="s">
        <v>77</v>
      </c>
      <c r="E3" s="4" t="s">
        <v>77</v>
      </c>
      <c r="F3" s="4"/>
      <c r="G3" s="4"/>
      <c r="H3" s="4"/>
      <c r="I3" s="4" t="s">
        <v>77</v>
      </c>
      <c r="J3" s="4"/>
      <c r="K3" s="4"/>
      <c r="L3" s="4"/>
      <c r="M3" s="4"/>
      <c r="N3" s="4" t="s">
        <v>77</v>
      </c>
      <c r="O3" s="4" t="s">
        <v>97</v>
      </c>
      <c r="P3" s="4" t="s">
        <v>78</v>
      </c>
      <c r="Q3" s="4"/>
      <c r="R3" s="4"/>
      <c r="S3" s="4"/>
      <c r="T3" s="4"/>
      <c r="U3" s="4"/>
      <c r="V3" s="4"/>
      <c r="W3" s="4"/>
      <c r="X3" s="5">
        <f t="shared" ref="X3:X22" si="0">IF((COUNTA(D3,I3,N3,S3))=0, "", (COUNTIF(D3, "출석")+COUNTIF(I3, "출석")+COUNTIF(N3, "출석")+COUNTIF(S3, "출석"))/(COUNTA(D3,I3,N3,S3)))</f>
        <v>1</v>
      </c>
      <c r="Y3" s="5">
        <f t="shared" ref="Y3:Y22" si="1">IF((COUNTA(E3,J3,O3,T3))=0, "", (COUNTIF(E3, "출석")+COUNTIF(J3, "출석")+COUNTIF(O3, "출석")+COUNTIF(T3, "출석"))/(COUNTA(E3,J3,O3,T3)))</f>
        <v>0.5</v>
      </c>
      <c r="Z3" s="5">
        <v>1</v>
      </c>
      <c r="AA3" s="6"/>
    </row>
    <row r="4" spans="1:27" ht="21.95" customHeight="1" x14ac:dyDescent="0.3">
      <c r="A4" s="3" t="s">
        <v>57</v>
      </c>
      <c r="B4" s="3" t="s">
        <v>43</v>
      </c>
      <c r="C4" s="3" t="s">
        <v>54</v>
      </c>
      <c r="D4" s="4" t="s">
        <v>77</v>
      </c>
      <c r="E4" s="4" t="s">
        <v>77</v>
      </c>
      <c r="F4" s="4"/>
      <c r="G4" s="4"/>
      <c r="H4" s="4"/>
      <c r="I4" s="4" t="s">
        <v>77</v>
      </c>
      <c r="J4" s="4"/>
      <c r="K4" s="4"/>
      <c r="L4" s="4"/>
      <c r="M4" s="4"/>
      <c r="N4" s="4" t="s">
        <v>77</v>
      </c>
      <c r="O4" s="4" t="s">
        <v>77</v>
      </c>
      <c r="P4" s="4" t="s">
        <v>79</v>
      </c>
      <c r="Q4" s="4"/>
      <c r="R4" s="4"/>
      <c r="S4" s="4"/>
      <c r="T4" s="4"/>
      <c r="U4" s="4"/>
      <c r="V4" s="4"/>
      <c r="W4" s="4"/>
      <c r="X4" s="5">
        <f t="shared" si="0"/>
        <v>1</v>
      </c>
      <c r="Y4" s="5">
        <f t="shared" si="1"/>
        <v>1</v>
      </c>
      <c r="Z4" s="5">
        <f t="shared" ref="Z4:Z22" si="2">IF((COUNTA(F4,G4,H4,K4,L4,M4,P4,Q4,R4,U4,V4,W4))=0, "", (COUNTIF(F4:H4, "완료")+COUNTIF(K4:M4, "완료")+COUNTIF(P4:R4, "완료")+COUNTIF(U4:W4, "완료"))/(COUNTA(F4,G4,H4,K4,L4,M4,P4,Q4,R4,U4,V4,W4)))</f>
        <v>0</v>
      </c>
      <c r="AA4" s="6"/>
    </row>
    <row r="5" spans="1:27" ht="21.95" customHeight="1" x14ac:dyDescent="0.3">
      <c r="A5" s="3"/>
      <c r="B5" s="3"/>
      <c r="C5" s="3"/>
      <c r="D5" s="4"/>
      <c r="E5" s="4"/>
      <c r="F5" s="4"/>
      <c r="G5" s="4"/>
      <c r="H5" s="4"/>
      <c r="I5" s="4"/>
      <c r="J5" s="4"/>
      <c r="K5" s="4"/>
      <c r="L5" s="4"/>
      <c r="M5" s="4"/>
      <c r="N5" s="4"/>
      <c r="O5" s="4"/>
      <c r="P5" s="4"/>
      <c r="Q5" s="4"/>
      <c r="R5" s="4"/>
      <c r="S5" s="4"/>
      <c r="T5" s="4"/>
      <c r="U5" s="4"/>
      <c r="V5" s="4"/>
      <c r="W5" s="4"/>
      <c r="X5" s="5" t="str">
        <f t="shared" si="0"/>
        <v/>
      </c>
      <c r="Y5" s="5" t="str">
        <f t="shared" si="1"/>
        <v/>
      </c>
      <c r="Z5" s="5" t="str">
        <f t="shared" si="2"/>
        <v/>
      </c>
      <c r="AA5" s="6"/>
    </row>
    <row r="6" spans="1:27" ht="21.95" customHeight="1" x14ac:dyDescent="0.3">
      <c r="A6" s="3"/>
      <c r="B6" s="3"/>
      <c r="C6" s="3"/>
      <c r="D6" s="4"/>
      <c r="E6" s="4"/>
      <c r="F6" s="4"/>
      <c r="G6" s="4"/>
      <c r="H6" s="4"/>
      <c r="I6" s="4"/>
      <c r="J6" s="4"/>
      <c r="K6" s="4"/>
      <c r="L6" s="4"/>
      <c r="M6" s="4"/>
      <c r="N6" s="4"/>
      <c r="O6" s="4"/>
      <c r="P6" s="4"/>
      <c r="Q6" s="4"/>
      <c r="R6" s="4"/>
      <c r="S6" s="4"/>
      <c r="T6" s="4"/>
      <c r="U6" s="4"/>
      <c r="V6" s="4"/>
      <c r="W6" s="4"/>
      <c r="X6" s="5" t="str">
        <f t="shared" si="0"/>
        <v/>
      </c>
      <c r="Y6" s="5" t="str">
        <f t="shared" si="1"/>
        <v/>
      </c>
      <c r="Z6" s="5" t="str">
        <f t="shared" si="2"/>
        <v/>
      </c>
      <c r="AA6" s="6"/>
    </row>
    <row r="7" spans="1:27" ht="21.95" customHeight="1" x14ac:dyDescent="0.3">
      <c r="A7" s="3"/>
      <c r="B7" s="3"/>
      <c r="C7" s="3"/>
      <c r="D7" s="4"/>
      <c r="E7" s="4"/>
      <c r="F7" s="4"/>
      <c r="G7" s="4"/>
      <c r="H7" s="4"/>
      <c r="I7" s="4"/>
      <c r="J7" s="4"/>
      <c r="K7" s="4"/>
      <c r="L7" s="4"/>
      <c r="M7" s="4"/>
      <c r="N7" s="4"/>
      <c r="O7" s="4"/>
      <c r="P7" s="4"/>
      <c r="Q7" s="4"/>
      <c r="R7" s="4"/>
      <c r="S7" s="4"/>
      <c r="T7" s="4"/>
      <c r="U7" s="4"/>
      <c r="V7" s="4"/>
      <c r="W7" s="4"/>
      <c r="X7" s="5" t="str">
        <f t="shared" si="0"/>
        <v/>
      </c>
      <c r="Y7" s="5" t="str">
        <f t="shared" si="1"/>
        <v/>
      </c>
      <c r="Z7" s="5" t="str">
        <f t="shared" si="2"/>
        <v/>
      </c>
      <c r="AA7" s="6"/>
    </row>
    <row r="8" spans="1:27" ht="21.95" customHeight="1" x14ac:dyDescent="0.3">
      <c r="A8" s="3"/>
      <c r="B8" s="3"/>
      <c r="C8" s="3"/>
      <c r="D8" s="4"/>
      <c r="E8" s="4"/>
      <c r="F8" s="4"/>
      <c r="G8" s="4"/>
      <c r="H8" s="4"/>
      <c r="I8" s="4"/>
      <c r="J8" s="4"/>
      <c r="K8" s="4"/>
      <c r="L8" s="4"/>
      <c r="M8" s="4"/>
      <c r="N8" s="4"/>
      <c r="O8" s="4"/>
      <c r="P8" s="4"/>
      <c r="Q8" s="4"/>
      <c r="R8" s="4"/>
      <c r="S8" s="4"/>
      <c r="T8" s="4"/>
      <c r="U8" s="4"/>
      <c r="V8" s="4"/>
      <c r="W8" s="4"/>
      <c r="X8" s="5" t="str">
        <f t="shared" si="0"/>
        <v/>
      </c>
      <c r="Y8" s="5" t="str">
        <f t="shared" si="1"/>
        <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49" priority="1" operator="equal">
      <formula>"출석"</formula>
    </cfRule>
    <cfRule type="cellIs" dxfId="48" priority="2" operator="equal">
      <formula>"결석"</formula>
    </cfRule>
    <cfRule type="cellIs" dxfId="47" priority="3" operator="equal">
      <formula>"지각"</formula>
    </cfRule>
    <cfRule type="cellIs" dxfId="46" priority="4" operator="equal">
      <formula>"미제출"</formula>
    </cfRule>
    <cfRule type="cellIs" dxfId="45" priority="5" operator="equal">
      <formula>"미흡"</formula>
    </cfRule>
  </conditionalFormatting>
  <dataValidations count="2">
    <dataValidation type="list" allowBlank="1" error="목록에서 선택해주세요. (출석, 지각, 결석)" sqref="D3:E22 I3:J22 N3:O22 S3:T22" xr:uid="{00000000-0002-0000-0200-000000000000}">
      <formula1>"출석,지각,결석"</formula1>
    </dataValidation>
    <dataValidation type="list" allowBlank="1" error="목록에서 선택해주세요. (완료, 미흡, 미제출)" sqref="F3:H22 K3:M22 P3:R22 U3:W22" xr:uid="{00000000-0002-0000-0200-000001000000}">
      <formula1>"완료,미흡,미제출"</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
  <sheetViews>
    <sheetView workbookViewId="0">
      <pane xSplit="3" ySplit="2" topLeftCell="D3" activePane="bottomRight" state="frozen"/>
      <selection pane="topRight"/>
      <selection pane="bottomLeft"/>
      <selection pane="bottomRight" activeCell="N10" sqref="N10"/>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80</v>
      </c>
      <c r="B3" s="3"/>
      <c r="C3" s="3"/>
      <c r="D3" s="4" t="s">
        <v>77</v>
      </c>
      <c r="E3" s="4"/>
      <c r="F3" s="4"/>
      <c r="G3" s="4"/>
      <c r="H3" s="4"/>
      <c r="I3" s="4" t="s">
        <v>77</v>
      </c>
      <c r="J3" s="4"/>
      <c r="K3" s="4"/>
      <c r="L3" s="4"/>
      <c r="M3" s="4"/>
      <c r="N3" s="4" t="s">
        <v>77</v>
      </c>
      <c r="O3" s="4"/>
      <c r="P3" s="4"/>
      <c r="Q3" s="4"/>
      <c r="R3" s="4"/>
      <c r="S3" s="4"/>
      <c r="T3" s="4"/>
      <c r="U3" s="4"/>
      <c r="V3" s="4"/>
      <c r="W3" s="4"/>
      <c r="X3" s="5">
        <f t="shared" ref="X3:X22" si="0">IF((COUNTA(D3,I3,N3,S3))=0, "", (COUNTIF(D3, "출석")+COUNTIF(I3, "출석")+COUNTIF(N3, "출석")+COUNTIF(S3, "출석"))/(COUNTA(D3,I3,N3,S3)))</f>
        <v>1</v>
      </c>
      <c r="Y3" s="5" t="str">
        <f t="shared" ref="Y3:Y22" si="1">IF((COUNTA(E3,J3,O3,T3))=0, "", (COUNTIF(E3, "출석")+COUNTIF(J3, "출석")+COUNTIF(O3, "출석")+COUNTIF(T3, "출석"))/(COUNTA(E3,J3,O3,T3)))</f>
        <v/>
      </c>
      <c r="Z3" s="5" t="str">
        <f t="shared" ref="Z3:Z22" si="2">IF((COUNTA(F3,G3,H3,K3,L3,M3,P3,Q3,R3,U3,V3,W3))=0, "", (COUNTIF(F3:H3, "완료")+COUNTIF(K3:M3, "완료")+COUNTIF(P3:R3, "완료")+COUNTIF(U3:W3, "완료"))/(COUNTA(F3,G3,H3,K3,L3,M3,P3,Q3,R3,U3,V3,W3)))</f>
        <v/>
      </c>
      <c r="AA3" s="6"/>
    </row>
    <row r="4" spans="1:27" ht="21.95" customHeight="1" x14ac:dyDescent="0.3">
      <c r="A4" s="3" t="s">
        <v>81</v>
      </c>
      <c r="B4" s="3"/>
      <c r="C4" s="3"/>
      <c r="D4" s="4" t="s">
        <v>77</v>
      </c>
      <c r="E4" s="4"/>
      <c r="F4" s="4"/>
      <c r="G4" s="4"/>
      <c r="H4" s="4"/>
      <c r="I4" s="4" t="s">
        <v>77</v>
      </c>
      <c r="J4" s="4"/>
      <c r="K4" s="4"/>
      <c r="L4" s="4"/>
      <c r="M4" s="4"/>
      <c r="N4" s="4" t="s">
        <v>77</v>
      </c>
      <c r="O4" s="4"/>
      <c r="P4" s="4"/>
      <c r="Q4" s="4"/>
      <c r="R4" s="4"/>
      <c r="S4" s="4"/>
      <c r="T4" s="4"/>
      <c r="U4" s="4"/>
      <c r="V4" s="4"/>
      <c r="W4" s="4"/>
      <c r="X4" s="5">
        <f t="shared" si="0"/>
        <v>1</v>
      </c>
      <c r="Y4" s="5" t="str">
        <f t="shared" si="1"/>
        <v/>
      </c>
      <c r="Z4" s="5" t="str">
        <f t="shared" si="2"/>
        <v/>
      </c>
      <c r="AA4" s="6"/>
    </row>
    <row r="5" spans="1:27" ht="21.95" customHeight="1" x14ac:dyDescent="0.3">
      <c r="A5" s="3" t="s">
        <v>82</v>
      </c>
      <c r="B5" s="3"/>
      <c r="C5" s="3"/>
      <c r="D5" s="4" t="s">
        <v>77</v>
      </c>
      <c r="E5" s="4"/>
      <c r="F5" s="4"/>
      <c r="G5" s="4"/>
      <c r="H5" s="4"/>
      <c r="I5" s="4" t="s">
        <v>77</v>
      </c>
      <c r="J5" s="4"/>
      <c r="K5" s="4"/>
      <c r="L5" s="4"/>
      <c r="M5" s="4"/>
      <c r="N5" s="4" t="s">
        <v>77</v>
      </c>
      <c r="O5" s="4"/>
      <c r="P5" s="4"/>
      <c r="Q5" s="4"/>
      <c r="R5" s="4"/>
      <c r="S5" s="4"/>
      <c r="T5" s="4"/>
      <c r="U5" s="4"/>
      <c r="V5" s="4"/>
      <c r="W5" s="4"/>
      <c r="X5" s="5">
        <f t="shared" si="0"/>
        <v>1</v>
      </c>
      <c r="Y5" s="5" t="str">
        <f t="shared" si="1"/>
        <v/>
      </c>
      <c r="Z5" s="5" t="str">
        <f t="shared" si="2"/>
        <v/>
      </c>
      <c r="AA5" s="6"/>
    </row>
    <row r="6" spans="1:27" ht="21.95" customHeight="1" x14ac:dyDescent="0.3">
      <c r="A6" s="3" t="s">
        <v>83</v>
      </c>
      <c r="B6" s="3"/>
      <c r="C6" s="3"/>
      <c r="D6" s="4" t="s">
        <v>77</v>
      </c>
      <c r="E6" s="4"/>
      <c r="F6" s="4"/>
      <c r="G6" s="4"/>
      <c r="H6" s="4"/>
      <c r="I6" s="4" t="s">
        <v>77</v>
      </c>
      <c r="J6" s="4"/>
      <c r="K6" s="4"/>
      <c r="L6" s="4"/>
      <c r="M6" s="4"/>
      <c r="N6" s="4" t="s">
        <v>77</v>
      </c>
      <c r="O6" s="4"/>
      <c r="P6" s="4"/>
      <c r="Q6" s="4"/>
      <c r="R6" s="4"/>
      <c r="S6" s="4"/>
      <c r="T6" s="4"/>
      <c r="U6" s="4"/>
      <c r="V6" s="4"/>
      <c r="W6" s="4"/>
      <c r="X6" s="5">
        <f t="shared" si="0"/>
        <v>1</v>
      </c>
      <c r="Y6" s="5" t="str">
        <f t="shared" si="1"/>
        <v/>
      </c>
      <c r="Z6" s="5" t="str">
        <f t="shared" si="2"/>
        <v/>
      </c>
      <c r="AA6" s="6"/>
    </row>
    <row r="7" spans="1:27" ht="21.95" customHeight="1" x14ac:dyDescent="0.3">
      <c r="A7" s="3" t="s">
        <v>84</v>
      </c>
      <c r="B7" s="3"/>
      <c r="C7" s="3"/>
      <c r="D7" s="4" t="s">
        <v>77</v>
      </c>
      <c r="E7" s="4"/>
      <c r="F7" s="4"/>
      <c r="G7" s="4"/>
      <c r="H7" s="4"/>
      <c r="I7" s="4" t="s">
        <v>77</v>
      </c>
      <c r="J7" s="4"/>
      <c r="K7" s="4"/>
      <c r="L7" s="4"/>
      <c r="M7" s="4"/>
      <c r="N7" s="4" t="s">
        <v>77</v>
      </c>
      <c r="O7" s="4"/>
      <c r="P7" s="4"/>
      <c r="Q7" s="4"/>
      <c r="R7" s="4"/>
      <c r="S7" s="4"/>
      <c r="T7" s="4"/>
      <c r="U7" s="4"/>
      <c r="V7" s="4"/>
      <c r="W7" s="4"/>
      <c r="X7" s="5">
        <f t="shared" si="0"/>
        <v>1</v>
      </c>
      <c r="Y7" s="5" t="str">
        <f t="shared" si="1"/>
        <v/>
      </c>
      <c r="Z7" s="5" t="str">
        <f t="shared" si="2"/>
        <v/>
      </c>
      <c r="AA7" s="6"/>
    </row>
    <row r="8" spans="1:27" ht="21.95" customHeight="1" x14ac:dyDescent="0.3">
      <c r="A8" s="3" t="s">
        <v>85</v>
      </c>
      <c r="B8" s="3"/>
      <c r="C8" s="3"/>
      <c r="D8" s="4" t="s">
        <v>77</v>
      </c>
      <c r="E8" s="4"/>
      <c r="F8" s="4"/>
      <c r="G8" s="4"/>
      <c r="H8" s="4"/>
      <c r="I8" s="4" t="s">
        <v>77</v>
      </c>
      <c r="J8" s="4"/>
      <c r="K8" s="4"/>
      <c r="L8" s="4"/>
      <c r="M8" s="4"/>
      <c r="N8" s="4" t="s">
        <v>77</v>
      </c>
      <c r="O8" s="4"/>
      <c r="P8" s="4"/>
      <c r="Q8" s="4"/>
      <c r="R8" s="4"/>
      <c r="S8" s="4"/>
      <c r="T8" s="4"/>
      <c r="U8" s="4"/>
      <c r="V8" s="4"/>
      <c r="W8" s="4"/>
      <c r="X8" s="5">
        <f t="shared" si="0"/>
        <v>1</v>
      </c>
      <c r="Y8" s="5" t="str">
        <f t="shared" si="1"/>
        <v/>
      </c>
      <c r="Z8" s="5" t="str">
        <f t="shared" si="2"/>
        <v/>
      </c>
      <c r="AA8" s="6"/>
    </row>
    <row r="9" spans="1:27" ht="21.95" customHeight="1" x14ac:dyDescent="0.3">
      <c r="A9" s="3" t="s">
        <v>86</v>
      </c>
      <c r="B9" s="3"/>
      <c r="C9" s="3"/>
      <c r="D9" s="4" t="s">
        <v>77</v>
      </c>
      <c r="E9" s="4"/>
      <c r="F9" s="4"/>
      <c r="G9" s="4"/>
      <c r="H9" s="4"/>
      <c r="I9" s="4" t="s">
        <v>77</v>
      </c>
      <c r="J9" s="4"/>
      <c r="K9" s="4"/>
      <c r="L9" s="4"/>
      <c r="M9" s="4"/>
      <c r="N9" s="4" t="s">
        <v>77</v>
      </c>
      <c r="O9" s="4"/>
      <c r="P9" s="4"/>
      <c r="Q9" s="4"/>
      <c r="R9" s="4"/>
      <c r="S9" s="4"/>
      <c r="T9" s="4"/>
      <c r="U9" s="4"/>
      <c r="V9" s="4"/>
      <c r="W9" s="4"/>
      <c r="X9" s="5">
        <f t="shared" si="0"/>
        <v>1</v>
      </c>
      <c r="Y9" s="5" t="str">
        <f t="shared" si="1"/>
        <v/>
      </c>
      <c r="Z9" s="5" t="str">
        <f t="shared" si="2"/>
        <v/>
      </c>
      <c r="AA9" s="6"/>
    </row>
    <row r="10" spans="1:27" ht="21.95" customHeight="1" x14ac:dyDescent="0.3">
      <c r="A10" s="3" t="s">
        <v>87</v>
      </c>
      <c r="B10" s="3"/>
      <c r="C10" s="3"/>
      <c r="D10" s="4" t="s">
        <v>77</v>
      </c>
      <c r="E10" s="4"/>
      <c r="F10" s="4"/>
      <c r="G10" s="4"/>
      <c r="H10" s="4"/>
      <c r="I10" s="4" t="s">
        <v>77</v>
      </c>
      <c r="J10" s="4"/>
      <c r="K10" s="4"/>
      <c r="L10" s="4"/>
      <c r="M10" s="4"/>
      <c r="N10" s="4" t="s">
        <v>77</v>
      </c>
      <c r="O10" s="4"/>
      <c r="P10" s="4"/>
      <c r="Q10" s="4"/>
      <c r="R10" s="4"/>
      <c r="S10" s="4"/>
      <c r="T10" s="4"/>
      <c r="U10" s="4"/>
      <c r="V10" s="4"/>
      <c r="W10" s="4"/>
      <c r="X10" s="5">
        <f t="shared" si="0"/>
        <v>1</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44" priority="1" operator="equal">
      <formula>"출석"</formula>
    </cfRule>
    <cfRule type="cellIs" dxfId="43" priority="2" operator="equal">
      <formula>"결석"</formula>
    </cfRule>
    <cfRule type="cellIs" dxfId="42" priority="3" operator="equal">
      <formula>"지각"</formula>
    </cfRule>
    <cfRule type="cellIs" dxfId="41" priority="4" operator="equal">
      <formula>"미제출"</formula>
    </cfRule>
    <cfRule type="cellIs" dxfId="40" priority="5" operator="equal">
      <formula>"미흡"</formula>
    </cfRule>
  </conditionalFormatting>
  <dataValidations count="2">
    <dataValidation type="list" allowBlank="1" error="목록에서 선택해주세요. (출석, 지각, 결석)" sqref="D3:E22 I3:J22 N3:O22 S3:T22" xr:uid="{00000000-0002-0000-0300-000000000000}">
      <formula1>"출석,지각,결석"</formula1>
    </dataValidation>
    <dataValidation type="list" allowBlank="1" error="목록에서 선택해주세요. (완료, 미흡, 미제출)" sqref="F3:H22 K3:M22 P3:R22 U3:W22" xr:uid="{00000000-0002-0000-0300-000001000000}">
      <formula1>"완료,미흡,미제출"</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2"/>
  <sheetViews>
    <sheetView workbookViewId="0">
      <pane xSplit="3" ySplit="2" topLeftCell="D3" activePane="bottomRight" state="frozen"/>
      <selection pane="topRight"/>
      <selection pane="bottomLeft"/>
      <selection pane="bottomRight" activeCell="L17" sqref="L17"/>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28</v>
      </c>
      <c r="B3" s="3" t="s">
        <v>10</v>
      </c>
      <c r="C3" s="3" t="s">
        <v>22</v>
      </c>
      <c r="D3" s="4" t="s">
        <v>77</v>
      </c>
      <c r="E3" s="4" t="s">
        <v>77</v>
      </c>
      <c r="F3" s="4"/>
      <c r="G3" s="4"/>
      <c r="H3" s="4"/>
      <c r="I3" s="4" t="s">
        <v>77</v>
      </c>
      <c r="J3" s="4" t="s">
        <v>77</v>
      </c>
      <c r="K3" s="4"/>
      <c r="L3" s="4"/>
      <c r="M3" s="4"/>
      <c r="N3" s="4" t="s">
        <v>77</v>
      </c>
      <c r="O3" s="4" t="s">
        <v>77</v>
      </c>
      <c r="P3" s="4"/>
      <c r="Q3" s="4"/>
      <c r="R3" s="4"/>
      <c r="S3" s="4"/>
      <c r="T3" s="4"/>
      <c r="U3" s="4"/>
      <c r="V3" s="4"/>
      <c r="W3" s="4"/>
      <c r="X3" s="5">
        <f t="shared" ref="X3:X22" si="0">IF((COUNTA(D3,I3,N3,S3))=0, "", (COUNTIF(D3, "출석")+COUNTIF(I3, "출석")+COUNTIF(N3, "출석")+COUNTIF(S3, "출석"))/(COUNTA(D3,I3,N3,S3)))</f>
        <v>1</v>
      </c>
      <c r="Y3" s="5">
        <f t="shared" ref="Y3:Y22" si="1">IF((COUNTA(E3,J3,O3,T3))=0, "", (COUNTIF(E3, "출석")+COUNTIF(J3, "출석")+COUNTIF(O3, "출석")+COUNTIF(T3, "출석"))/(COUNTA(E3,J3,O3,T3)))</f>
        <v>1</v>
      </c>
      <c r="Z3" s="5" t="str">
        <f t="shared" ref="Z3:Z22" si="2">IF((COUNTA(F3,G3,H3,K3,L3,M3,P3,Q3,R3,U3,V3,W3))=0, "", (COUNTIF(F3:H3, "완료")+COUNTIF(K3:M3, "완료")+COUNTIF(P3:R3, "완료")+COUNTIF(U3:W3, "완료"))/(COUNTA(F3,G3,H3,K3,L3,M3,P3,Q3,R3,U3,V3,W3)))</f>
        <v/>
      </c>
      <c r="AA3" s="6"/>
    </row>
    <row r="4" spans="1:27" ht="21.95" customHeight="1" x14ac:dyDescent="0.3">
      <c r="A4" s="3"/>
      <c r="B4" s="3"/>
      <c r="C4" s="3"/>
      <c r="D4" s="4"/>
      <c r="E4" s="4"/>
      <c r="F4" s="4"/>
      <c r="G4" s="4"/>
      <c r="H4" s="4"/>
      <c r="I4" s="4"/>
      <c r="J4" s="4"/>
      <c r="K4" s="4"/>
      <c r="L4" s="4"/>
      <c r="M4" s="4"/>
      <c r="N4" s="4"/>
      <c r="O4" s="4"/>
      <c r="P4" s="4"/>
      <c r="Q4" s="4"/>
      <c r="R4" s="4"/>
      <c r="S4" s="4"/>
      <c r="T4" s="4"/>
      <c r="U4" s="4"/>
      <c r="V4" s="4"/>
      <c r="W4" s="4"/>
      <c r="X4" s="5" t="str">
        <f t="shared" si="0"/>
        <v/>
      </c>
      <c r="Y4" s="5" t="str">
        <f t="shared" si="1"/>
        <v/>
      </c>
      <c r="Z4" s="5" t="str">
        <f t="shared" si="2"/>
        <v/>
      </c>
      <c r="AA4" s="6"/>
    </row>
    <row r="5" spans="1:27" ht="21.95" customHeight="1" x14ac:dyDescent="0.3">
      <c r="A5" s="3"/>
      <c r="B5" s="3"/>
      <c r="C5" s="3"/>
      <c r="D5" s="4"/>
      <c r="E5" s="4"/>
      <c r="F5" s="4"/>
      <c r="G5" s="4"/>
      <c r="H5" s="4"/>
      <c r="I5" s="4"/>
      <c r="J5" s="4"/>
      <c r="K5" s="4"/>
      <c r="L5" s="4"/>
      <c r="M5" s="4"/>
      <c r="N5" s="4"/>
      <c r="O5" s="4"/>
      <c r="P5" s="4"/>
      <c r="Q5" s="4"/>
      <c r="R5" s="4"/>
      <c r="S5" s="4"/>
      <c r="T5" s="4"/>
      <c r="U5" s="4"/>
      <c r="V5" s="4"/>
      <c r="W5" s="4"/>
      <c r="X5" s="5" t="str">
        <f t="shared" si="0"/>
        <v/>
      </c>
      <c r="Y5" s="5" t="str">
        <f t="shared" si="1"/>
        <v/>
      </c>
      <c r="Z5" s="5" t="str">
        <f t="shared" si="2"/>
        <v/>
      </c>
      <c r="AA5" s="6"/>
    </row>
    <row r="6" spans="1:27" ht="21.95" customHeight="1" x14ac:dyDescent="0.3">
      <c r="A6" s="3"/>
      <c r="B6" s="3"/>
      <c r="C6" s="3"/>
      <c r="D6" s="4"/>
      <c r="E6" s="4"/>
      <c r="F6" s="4"/>
      <c r="G6" s="4"/>
      <c r="H6" s="4"/>
      <c r="I6" s="4"/>
      <c r="J6" s="4"/>
      <c r="K6" s="4"/>
      <c r="L6" s="4"/>
      <c r="M6" s="4"/>
      <c r="N6" s="4"/>
      <c r="O6" s="4"/>
      <c r="P6" s="4"/>
      <c r="Q6" s="4"/>
      <c r="R6" s="4"/>
      <c r="S6" s="4"/>
      <c r="T6" s="4"/>
      <c r="U6" s="4"/>
      <c r="V6" s="4"/>
      <c r="W6" s="4"/>
      <c r="X6" s="5" t="str">
        <f t="shared" si="0"/>
        <v/>
      </c>
      <c r="Y6" s="5" t="str">
        <f t="shared" si="1"/>
        <v/>
      </c>
      <c r="Z6" s="5" t="str">
        <f t="shared" si="2"/>
        <v/>
      </c>
      <c r="AA6" s="6"/>
    </row>
    <row r="7" spans="1:27" ht="21.95" customHeight="1" x14ac:dyDescent="0.3">
      <c r="A7" s="3"/>
      <c r="B7" s="3"/>
      <c r="C7" s="3"/>
      <c r="D7" s="4"/>
      <c r="E7" s="4"/>
      <c r="F7" s="4"/>
      <c r="G7" s="4"/>
      <c r="H7" s="4"/>
      <c r="I7" s="4"/>
      <c r="J7" s="4"/>
      <c r="K7" s="4"/>
      <c r="L7" s="4"/>
      <c r="M7" s="4"/>
      <c r="N7" s="4"/>
      <c r="O7" s="4"/>
      <c r="P7" s="4"/>
      <c r="Q7" s="4"/>
      <c r="R7" s="4"/>
      <c r="S7" s="4"/>
      <c r="T7" s="4"/>
      <c r="U7" s="4"/>
      <c r="V7" s="4"/>
      <c r="W7" s="4"/>
      <c r="X7" s="5" t="str">
        <f t="shared" si="0"/>
        <v/>
      </c>
      <c r="Y7" s="5" t="str">
        <f t="shared" si="1"/>
        <v/>
      </c>
      <c r="Z7" s="5" t="str">
        <f t="shared" si="2"/>
        <v/>
      </c>
      <c r="AA7" s="6"/>
    </row>
    <row r="8" spans="1:27" ht="21.95" customHeight="1" x14ac:dyDescent="0.3">
      <c r="A8" s="3"/>
      <c r="B8" s="3"/>
      <c r="C8" s="3"/>
      <c r="D8" s="4"/>
      <c r="E8" s="4"/>
      <c r="F8" s="4"/>
      <c r="G8" s="4"/>
      <c r="H8" s="4"/>
      <c r="I8" s="4"/>
      <c r="J8" s="4"/>
      <c r="K8" s="4"/>
      <c r="L8" s="4"/>
      <c r="M8" s="4"/>
      <c r="N8" s="4"/>
      <c r="O8" s="4"/>
      <c r="P8" s="4"/>
      <c r="Q8" s="4"/>
      <c r="R8" s="4"/>
      <c r="S8" s="4"/>
      <c r="T8" s="4"/>
      <c r="U8" s="4"/>
      <c r="V8" s="4"/>
      <c r="W8" s="4"/>
      <c r="X8" s="5" t="str">
        <f t="shared" si="0"/>
        <v/>
      </c>
      <c r="Y8" s="5" t="str">
        <f t="shared" si="1"/>
        <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39" priority="1" operator="equal">
      <formula>"출석"</formula>
    </cfRule>
    <cfRule type="cellIs" dxfId="38" priority="2" operator="equal">
      <formula>"결석"</formula>
    </cfRule>
    <cfRule type="cellIs" dxfId="37" priority="3" operator="equal">
      <formula>"지각"</formula>
    </cfRule>
    <cfRule type="cellIs" dxfId="36" priority="4" operator="equal">
      <formula>"미제출"</formula>
    </cfRule>
    <cfRule type="cellIs" dxfId="35" priority="5" operator="equal">
      <formula>"미흡"</formula>
    </cfRule>
  </conditionalFormatting>
  <dataValidations count="2">
    <dataValidation type="list" allowBlank="1" error="목록에서 선택해주세요. (출석, 지각, 결석)" sqref="D3 D4 D5 D6 D7 D8 D9 D10 D11 D12 D13 D14 D15 D16 D17 D18 D19 D20 D21 D22 E3 E4 E5 E6 E7 E8 E9 E10 E11 E12 E13 E14 E15 E16 E17 E18 E19 E20 E21 E22 I3 I4 I5 I6 I7 I8 I9 I10 I11 I12 I13 I14 I15 I16 I17 I18 I19 I20 I21 I22 J3 J4 J5 J6 J7 J8 J9 J10 J11 J12 J13 J14 J15 J16 J17 J18 J19 J20 J21 J22 N3 N4 N5 N6 N7 N8 N9 N10 N11 N12 N13 N14 N15 N16 N17 N18 N19 N20 N21 N22 O3 O4 O5 O6 O7 O8 O9 O10 O11 O12 O13 O14 O15 O16 O17 O18 O19 O20 O21 O22 S3 S4 S5 S6 S7 S8 S9 S10 S11 S12 S13 S14 S15 S16 S17 S18 S19 S20 S21 S22 T3 T4 T5 T6 T7 T8 T9 T10 T11 T12 T13 T14 T15 T16 T17 T18 T19 T20 T21 T22" xr:uid="{00000000-0002-0000-0400-000000000000}">
      <formula1>"출석,지각,결석"</formula1>
    </dataValidation>
    <dataValidation type="list" allowBlank="1" error="목록에서 선택해주세요. (완료, 미흡, 미제출)" sqref="F3 F4 F5 F6 F7 F8 F9 F10 F11 F12 F13 F14 F15 F16 F17 F18 F19 F20 F21 F22 G3 G4 G5 G6 G7 G8 G9 G10 G11 G12 G13 G14 G15 G16 G17 G18 G19 G20 G21 G22 H3 H4 H5 H6 H7 H8 H9 H10 H11 H12 H13 H14 H15 H16 H17 H18 H19 H20 H21 H22 K3 K4 K5 K6 K7 K8 K9 K10 K11 K12 K13 K14 K15 K16 K17 K18 K19 K20 K21 K22 L3 L4 L5 L6 L7 L8 L9 L10 L11 L12 L13 L14 L15 L16 L17 L18 L19 L20 L21 L22 M3 M4 M5 M6 M7 M8 M9 M10 M11 M12 M13 M14 M15 M16 M17 M18 M19 M20 M21 M22 P3 P4 P5 P6 P7 P8 P9 P10 P11 P12 P13 P14 P15 P16 P17 P18 P19 P20 P21 P22 Q3 Q4 Q5 Q6 Q7 Q8 Q9 Q10 Q11 Q12 Q13 Q14 Q15 Q16 Q17 Q18 Q19 Q20 Q21 Q22 R3 R4 R5 R6 R7 R8 R9 R10 R11 R12 R13 R14 R15 R16 R17 R18 R19 R20 R21 R22 U3 U4 U5 U6 U7 U8 U9 U10 U11 U12 U13 U14 U15 U16 U17 U18 U19 U20 U21 U22 V3 V4 V5 V6 V7 V8 V9 V10 V11 V12 V13 V14 V15 V16 V17 V18 V19 V20 V21 V22 W3 W4 W5 W6 W7 W8 W9 W10 W11 W12 W13 W14 W15 W16 W17 W18 W19 W20 W21 W22" xr:uid="{00000000-0002-0000-0400-000001000000}">
      <formula1>"완료,미흡,미제출"</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2"/>
  <sheetViews>
    <sheetView workbookViewId="0">
      <pane xSplit="3" ySplit="2" topLeftCell="D3" activePane="bottomRight" state="frozen"/>
      <selection pane="topRight"/>
      <selection pane="bottomLeft"/>
      <selection pane="bottomRight" activeCell="X15" sqref="X15"/>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32</v>
      </c>
      <c r="B3" s="3" t="s">
        <v>10</v>
      </c>
      <c r="C3" s="7" t="s">
        <v>22</v>
      </c>
      <c r="D3" s="4" t="s">
        <v>77</v>
      </c>
      <c r="E3" s="4" t="s">
        <v>77</v>
      </c>
      <c r="F3" s="4"/>
      <c r="G3" s="4"/>
      <c r="H3" s="4"/>
      <c r="I3" s="4" t="s">
        <v>75</v>
      </c>
      <c r="J3" s="4" t="s">
        <v>77</v>
      </c>
      <c r="K3" s="4"/>
      <c r="L3" s="4"/>
      <c r="M3" s="4"/>
      <c r="N3" s="4" t="s">
        <v>77</v>
      </c>
      <c r="O3" s="4"/>
      <c r="P3" s="4"/>
      <c r="Q3" s="4"/>
      <c r="R3" s="4"/>
      <c r="S3" s="4"/>
      <c r="T3" s="4"/>
      <c r="U3" s="4"/>
      <c r="V3" s="4"/>
      <c r="W3" s="4"/>
      <c r="X3" s="5">
        <f t="shared" ref="X3:X22" si="0">IF((COUNTA(D3,I3,N3,S3))=0, "", (COUNTIF(D3, "출석")+COUNTIF(I3, "출석")+COUNTIF(N3, "출석")+COUNTIF(S3, "출석"))/(COUNTA(D3,I3,N3,S3)))</f>
        <v>0.66666666666666663</v>
      </c>
      <c r="Y3" s="5">
        <f t="shared" ref="Y3:Y22" si="1">IF((COUNTA(E3,J3,O3,T3))=0, "", (COUNTIF(E3, "출석")+COUNTIF(J3, "출석")+COUNTIF(O3, "출석")+COUNTIF(T3, "출석"))/(COUNTA(E3,J3,O3,T3)))</f>
        <v>1</v>
      </c>
      <c r="Z3" s="5" t="str">
        <f t="shared" ref="Z3:Z22" si="2">IF((COUNTA(F3,G3,H3,K3,L3,M3,P3,Q3,R3,U3,V3,W3))=0, "", (COUNTIF(F3:H3, "완료")+COUNTIF(K3:M3, "완료")+COUNTIF(P3:R3, "완료")+COUNTIF(U3:W3, "완료"))/(COUNTA(F3,G3,H3,K3,L3,M3,P3,Q3,R3,U3,V3,W3)))</f>
        <v/>
      </c>
      <c r="AA3" s="6"/>
    </row>
    <row r="4" spans="1:27" ht="21.95" customHeight="1" x14ac:dyDescent="0.3">
      <c r="A4" s="3" t="s">
        <v>30</v>
      </c>
      <c r="B4" s="3" t="s">
        <v>10</v>
      </c>
      <c r="C4" s="7" t="s">
        <v>22</v>
      </c>
      <c r="D4" s="4" t="s">
        <v>77</v>
      </c>
      <c r="E4" s="4" t="s">
        <v>77</v>
      </c>
      <c r="F4" s="4"/>
      <c r="G4" s="4"/>
      <c r="H4" s="4"/>
      <c r="I4" s="4" t="s">
        <v>77</v>
      </c>
      <c r="J4" s="4" t="s">
        <v>77</v>
      </c>
      <c r="K4" s="4"/>
      <c r="L4" s="4"/>
      <c r="M4" s="4"/>
      <c r="N4" s="4" t="s">
        <v>77</v>
      </c>
      <c r="O4" s="4" t="s">
        <v>77</v>
      </c>
      <c r="P4" s="4"/>
      <c r="Q4" s="4"/>
      <c r="R4" s="4"/>
      <c r="S4" s="4"/>
      <c r="T4" s="4"/>
      <c r="U4" s="4"/>
      <c r="V4" s="4"/>
      <c r="W4" s="4"/>
      <c r="X4" s="5">
        <f t="shared" si="0"/>
        <v>1</v>
      </c>
      <c r="Y4" s="5">
        <f t="shared" si="1"/>
        <v>1</v>
      </c>
      <c r="Z4" s="5" t="str">
        <f t="shared" si="2"/>
        <v/>
      </c>
      <c r="AA4" s="6"/>
    </row>
    <row r="5" spans="1:27" ht="21.95" customHeight="1" x14ac:dyDescent="0.3">
      <c r="A5" s="3" t="s">
        <v>88</v>
      </c>
      <c r="B5" s="3" t="s">
        <v>10</v>
      </c>
      <c r="C5" s="7" t="s">
        <v>103</v>
      </c>
      <c r="D5" s="4" t="s">
        <v>77</v>
      </c>
      <c r="E5" s="4" t="s">
        <v>77</v>
      </c>
      <c r="F5" s="4"/>
      <c r="G5" s="4"/>
      <c r="H5" s="4"/>
      <c r="I5" s="4" t="s">
        <v>77</v>
      </c>
      <c r="J5" s="4" t="s">
        <v>77</v>
      </c>
      <c r="K5" s="4"/>
      <c r="L5" s="4"/>
      <c r="M5" s="4"/>
      <c r="N5" s="4" t="s">
        <v>77</v>
      </c>
      <c r="O5" s="4" t="s">
        <v>77</v>
      </c>
      <c r="P5" s="4"/>
      <c r="Q5" s="4"/>
      <c r="R5" s="4"/>
      <c r="S5" s="4"/>
      <c r="T5" s="4"/>
      <c r="U5" s="4"/>
      <c r="V5" s="4"/>
      <c r="W5" s="4"/>
      <c r="X5" s="5">
        <f t="shared" si="0"/>
        <v>1</v>
      </c>
      <c r="Y5" s="5">
        <f t="shared" si="1"/>
        <v>1</v>
      </c>
      <c r="Z5" s="5" t="str">
        <f t="shared" si="2"/>
        <v/>
      </c>
      <c r="AA5" s="6"/>
    </row>
    <row r="6" spans="1:27" ht="21.95" customHeight="1" x14ac:dyDescent="0.3">
      <c r="A6" s="3" t="s">
        <v>53</v>
      </c>
      <c r="B6" s="3" t="s">
        <v>10</v>
      </c>
      <c r="C6" s="7" t="s">
        <v>48</v>
      </c>
      <c r="D6" s="4" t="s">
        <v>77</v>
      </c>
      <c r="E6" s="4" t="s">
        <v>77</v>
      </c>
      <c r="F6" s="4"/>
      <c r="G6" s="4"/>
      <c r="H6" s="4"/>
      <c r="I6" s="4" t="s">
        <v>77</v>
      </c>
      <c r="J6" s="4" t="s">
        <v>77</v>
      </c>
      <c r="K6" s="4"/>
      <c r="L6" s="4"/>
      <c r="M6" s="4"/>
      <c r="N6" s="4" t="s">
        <v>77</v>
      </c>
      <c r="O6" s="4" t="s">
        <v>77</v>
      </c>
      <c r="P6" s="4"/>
      <c r="Q6" s="4"/>
      <c r="R6" s="4"/>
      <c r="S6" s="4"/>
      <c r="T6" s="4"/>
      <c r="U6" s="4"/>
      <c r="V6" s="4"/>
      <c r="W6" s="4"/>
      <c r="X6" s="5">
        <f t="shared" si="0"/>
        <v>1</v>
      </c>
      <c r="Y6" s="5">
        <f t="shared" si="1"/>
        <v>1</v>
      </c>
      <c r="Z6" s="5" t="str">
        <f t="shared" si="2"/>
        <v/>
      </c>
      <c r="AA6" s="6"/>
    </row>
    <row r="7" spans="1:27" ht="21.95" customHeight="1" x14ac:dyDescent="0.3">
      <c r="A7" s="3" t="s">
        <v>11</v>
      </c>
      <c r="B7" s="3" t="s">
        <v>10</v>
      </c>
      <c r="C7" s="7" t="s">
        <v>8</v>
      </c>
      <c r="D7" s="4" t="s">
        <v>77</v>
      </c>
      <c r="E7" s="4" t="s">
        <v>77</v>
      </c>
      <c r="F7" s="4"/>
      <c r="G7" s="4"/>
      <c r="H7" s="4"/>
      <c r="I7" s="4" t="s">
        <v>75</v>
      </c>
      <c r="J7" s="4" t="s">
        <v>77</v>
      </c>
      <c r="K7" s="4"/>
      <c r="L7" s="4"/>
      <c r="M7" s="4"/>
      <c r="N7" s="4" t="s">
        <v>77</v>
      </c>
      <c r="O7" s="4" t="s">
        <v>77</v>
      </c>
      <c r="P7" s="4"/>
      <c r="Q7" s="4"/>
      <c r="R7" s="4"/>
      <c r="S7" s="4"/>
      <c r="T7" s="4"/>
      <c r="U7" s="4"/>
      <c r="V7" s="4"/>
      <c r="W7" s="4"/>
      <c r="X7" s="5">
        <f t="shared" si="0"/>
        <v>0.66666666666666663</v>
      </c>
      <c r="Y7" s="5">
        <f t="shared" si="1"/>
        <v>1</v>
      </c>
      <c r="Z7" s="5" t="str">
        <f t="shared" si="2"/>
        <v/>
      </c>
      <c r="AA7" s="6"/>
    </row>
    <row r="8" spans="1:27" ht="21.95" customHeight="1" x14ac:dyDescent="0.3">
      <c r="A8" s="3" t="s">
        <v>29</v>
      </c>
      <c r="B8" s="3" t="s">
        <v>10</v>
      </c>
      <c r="C8" s="7" t="s">
        <v>22</v>
      </c>
      <c r="D8" s="4" t="s">
        <v>77</v>
      </c>
      <c r="E8" s="4" t="s">
        <v>77</v>
      </c>
      <c r="F8" s="4"/>
      <c r="G8" s="4"/>
      <c r="H8" s="4"/>
      <c r="I8" s="4" t="s">
        <v>77</v>
      </c>
      <c r="J8" s="4" t="s">
        <v>77</v>
      </c>
      <c r="K8" s="4"/>
      <c r="L8" s="4"/>
      <c r="M8" s="4"/>
      <c r="N8" s="4" t="s">
        <v>77</v>
      </c>
      <c r="O8" s="4" t="s">
        <v>77</v>
      </c>
      <c r="P8" s="4"/>
      <c r="Q8" s="4"/>
      <c r="R8" s="4"/>
      <c r="S8" s="4"/>
      <c r="T8" s="4"/>
      <c r="U8" s="4"/>
      <c r="V8" s="4"/>
      <c r="W8" s="4"/>
      <c r="X8" s="5">
        <f t="shared" si="0"/>
        <v>1</v>
      </c>
      <c r="Y8" s="5">
        <f t="shared" si="1"/>
        <v>1</v>
      </c>
      <c r="Z8" s="5" t="str">
        <f t="shared" si="2"/>
        <v/>
      </c>
      <c r="AA8" s="6"/>
    </row>
    <row r="9" spans="1:27" ht="21.95" customHeight="1" x14ac:dyDescent="0.3">
      <c r="A9" s="3" t="s">
        <v>12</v>
      </c>
      <c r="B9" s="3" t="s">
        <v>10</v>
      </c>
      <c r="C9" s="7" t="s">
        <v>8</v>
      </c>
      <c r="D9" s="4" t="s">
        <v>77</v>
      </c>
      <c r="E9" s="4" t="s">
        <v>77</v>
      </c>
      <c r="F9" s="4"/>
      <c r="G9" s="4"/>
      <c r="H9" s="4"/>
      <c r="I9" s="4" t="s">
        <v>77</v>
      </c>
      <c r="J9" s="4" t="s">
        <v>77</v>
      </c>
      <c r="K9" s="4"/>
      <c r="L9" s="4"/>
      <c r="M9" s="4"/>
      <c r="N9" s="4" t="s">
        <v>77</v>
      </c>
      <c r="O9" s="4" t="s">
        <v>77</v>
      </c>
      <c r="P9" s="4"/>
      <c r="Q9" s="4"/>
      <c r="R9" s="4"/>
      <c r="S9" s="4"/>
      <c r="T9" s="4"/>
      <c r="U9" s="4"/>
      <c r="V9" s="4"/>
      <c r="W9" s="4"/>
      <c r="X9" s="5">
        <f t="shared" si="0"/>
        <v>1</v>
      </c>
      <c r="Y9" s="5">
        <f t="shared" si="1"/>
        <v>1</v>
      </c>
      <c r="Z9" s="5" t="str">
        <f t="shared" si="2"/>
        <v/>
      </c>
      <c r="AA9" s="6"/>
    </row>
    <row r="10" spans="1:27" ht="21.95" customHeight="1" x14ac:dyDescent="0.3">
      <c r="A10" s="3" t="s">
        <v>31</v>
      </c>
      <c r="B10" s="3" t="s">
        <v>10</v>
      </c>
      <c r="C10" s="7" t="s">
        <v>22</v>
      </c>
      <c r="D10" s="4" t="s">
        <v>77</v>
      </c>
      <c r="E10" s="4" t="s">
        <v>77</v>
      </c>
      <c r="F10" s="4"/>
      <c r="G10" s="4"/>
      <c r="H10" s="4"/>
      <c r="I10" s="4" t="s">
        <v>77</v>
      </c>
      <c r="J10" s="4" t="s">
        <v>77</v>
      </c>
      <c r="K10" s="4"/>
      <c r="L10" s="4"/>
      <c r="M10" s="4"/>
      <c r="N10" s="4" t="s">
        <v>77</v>
      </c>
      <c r="O10" s="4" t="s">
        <v>77</v>
      </c>
      <c r="P10" s="4"/>
      <c r="Q10" s="4"/>
      <c r="R10" s="4"/>
      <c r="S10" s="4"/>
      <c r="T10" s="4"/>
      <c r="U10" s="4"/>
      <c r="V10" s="4"/>
      <c r="W10" s="4"/>
      <c r="X10" s="5">
        <f t="shared" si="0"/>
        <v>1</v>
      </c>
      <c r="Y10" s="5">
        <f t="shared" si="1"/>
        <v>1</v>
      </c>
      <c r="Z10" s="5" t="str">
        <f t="shared" si="2"/>
        <v/>
      </c>
      <c r="AA10" s="6"/>
    </row>
    <row r="11" spans="1:27" ht="21.95" customHeight="1" x14ac:dyDescent="0.3">
      <c r="A11" s="3" t="s">
        <v>45</v>
      </c>
      <c r="B11" s="3" t="s">
        <v>10</v>
      </c>
      <c r="C11" s="7" t="s">
        <v>41</v>
      </c>
      <c r="D11" s="4" t="s">
        <v>77</v>
      </c>
      <c r="E11" s="4" t="s">
        <v>77</v>
      </c>
      <c r="F11" s="4"/>
      <c r="G11" s="4"/>
      <c r="H11" s="4"/>
      <c r="I11" s="4" t="s">
        <v>77</v>
      </c>
      <c r="J11" s="4" t="s">
        <v>77</v>
      </c>
      <c r="K11" s="4"/>
      <c r="L11" s="4"/>
      <c r="M11" s="4"/>
      <c r="N11" s="4" t="s">
        <v>77</v>
      </c>
      <c r="O11" s="4" t="s">
        <v>77</v>
      </c>
      <c r="P11" s="4"/>
      <c r="Q11" s="4"/>
      <c r="R11" s="4"/>
      <c r="S11" s="4"/>
      <c r="T11" s="4"/>
      <c r="U11" s="4"/>
      <c r="V11" s="4"/>
      <c r="W11" s="4"/>
      <c r="X11" s="5">
        <f t="shared" si="0"/>
        <v>1</v>
      </c>
      <c r="Y11" s="5">
        <f t="shared" si="1"/>
        <v>1</v>
      </c>
      <c r="Z11" s="5" t="str">
        <f t="shared" si="2"/>
        <v/>
      </c>
      <c r="AA11" s="6"/>
    </row>
    <row r="12" spans="1:27" ht="21.95" customHeight="1" x14ac:dyDescent="0.3">
      <c r="A12" s="3" t="s">
        <v>52</v>
      </c>
      <c r="B12" s="3" t="s">
        <v>10</v>
      </c>
      <c r="C12" s="7" t="s">
        <v>48</v>
      </c>
      <c r="D12" s="4" t="s">
        <v>77</v>
      </c>
      <c r="E12" s="4" t="s">
        <v>77</v>
      </c>
      <c r="F12" s="4"/>
      <c r="G12" s="4"/>
      <c r="H12" s="4"/>
      <c r="I12" s="4" t="s">
        <v>77</v>
      </c>
      <c r="J12" s="4" t="s">
        <v>77</v>
      </c>
      <c r="K12" s="4"/>
      <c r="L12" s="4"/>
      <c r="M12" s="4"/>
      <c r="N12" s="4" t="s">
        <v>77</v>
      </c>
      <c r="O12" s="4" t="s">
        <v>77</v>
      </c>
      <c r="P12" s="4"/>
      <c r="Q12" s="4"/>
      <c r="R12" s="4"/>
      <c r="S12" s="4"/>
      <c r="T12" s="4"/>
      <c r="U12" s="4"/>
      <c r="V12" s="4"/>
      <c r="W12" s="4"/>
      <c r="X12" s="5">
        <f t="shared" si="0"/>
        <v>1</v>
      </c>
      <c r="Y12" s="5">
        <f t="shared" si="1"/>
        <v>1</v>
      </c>
      <c r="Z12" s="5" t="str">
        <f t="shared" si="2"/>
        <v/>
      </c>
      <c r="AA12" s="6"/>
    </row>
    <row r="13" spans="1:27" ht="21.95" customHeight="1" x14ac:dyDescent="0.3">
      <c r="A13" s="3" t="s">
        <v>104</v>
      </c>
      <c r="B13" s="3" t="s">
        <v>10</v>
      </c>
      <c r="C13" s="3"/>
      <c r="D13" s="4"/>
      <c r="E13" s="4"/>
      <c r="F13" s="4"/>
      <c r="G13" s="4"/>
      <c r="H13" s="4"/>
      <c r="I13" s="4"/>
      <c r="J13" s="4"/>
      <c r="K13" s="4"/>
      <c r="L13" s="4"/>
      <c r="M13" s="4"/>
      <c r="N13" s="4" t="s">
        <v>77</v>
      </c>
      <c r="O13" s="4"/>
      <c r="P13" s="4"/>
      <c r="Q13" s="4"/>
      <c r="R13" s="4"/>
      <c r="S13" s="4"/>
      <c r="T13" s="4"/>
      <c r="U13" s="4"/>
      <c r="V13" s="4"/>
      <c r="W13" s="4"/>
      <c r="X13" s="5">
        <f t="shared" si="0"/>
        <v>1</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34" priority="1" operator="equal">
      <formula>"출석"</formula>
    </cfRule>
    <cfRule type="cellIs" dxfId="33" priority="2" operator="equal">
      <formula>"결석"</formula>
    </cfRule>
    <cfRule type="cellIs" dxfId="32" priority="3" operator="equal">
      <formula>"지각"</formula>
    </cfRule>
    <cfRule type="cellIs" dxfId="31" priority="4" operator="equal">
      <formula>"미제출"</formula>
    </cfRule>
    <cfRule type="cellIs" dxfId="30" priority="5" operator="equal">
      <formula>"미흡"</formula>
    </cfRule>
  </conditionalFormatting>
  <dataValidations count="2">
    <dataValidation type="list" allowBlank="1" error="목록에서 선택해주세요. (출석, 지각, 결석)" sqref="D3:E22 I3:J22 S3:T22 N3:O22" xr:uid="{00000000-0002-0000-0500-000000000000}">
      <formula1>"출석,지각,결석"</formula1>
    </dataValidation>
    <dataValidation type="list" allowBlank="1" error="목록에서 선택해주세요. (완료, 미흡, 미제출)" sqref="F3:H22 K3:M22 P3:R22 U3:W22" xr:uid="{00000000-0002-0000-0500-000001000000}">
      <formula1>"완료,미흡,미제출"</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2"/>
  <sheetViews>
    <sheetView workbookViewId="0">
      <pane xSplit="3" ySplit="2" topLeftCell="D3" activePane="bottomRight" state="frozen"/>
      <selection pane="topRight"/>
      <selection pane="bottomLeft"/>
      <selection pane="bottomRight" activeCell="I3" sqref="I3:I7"/>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89</v>
      </c>
      <c r="B3" s="3"/>
      <c r="C3" s="3"/>
      <c r="D3" s="4" t="s">
        <v>75</v>
      </c>
      <c r="E3" s="4"/>
      <c r="F3" s="4"/>
      <c r="G3" s="4"/>
      <c r="H3" s="4"/>
      <c r="I3" s="4" t="s">
        <v>77</v>
      </c>
      <c r="J3" s="4"/>
      <c r="K3" s="4"/>
      <c r="L3" s="4"/>
      <c r="M3" s="4"/>
      <c r="N3" s="4" t="s">
        <v>77</v>
      </c>
      <c r="O3" s="4"/>
      <c r="P3" s="4"/>
      <c r="Q3" s="4"/>
      <c r="R3" s="4"/>
      <c r="S3" s="4"/>
      <c r="T3" s="4"/>
      <c r="U3" s="4"/>
      <c r="V3" s="4"/>
      <c r="W3" s="4"/>
      <c r="X3" s="5">
        <f t="shared" ref="X3:X22" si="0">IF((COUNTA(D3,I3,N3,S3))=0, "", (COUNTIF(D3, "출석")+COUNTIF(I3, "출석")+COUNTIF(N3, "출석")+COUNTIF(S3, "출석"))/(COUNTA(D3,I3,N3,S3)))</f>
        <v>0.66666666666666663</v>
      </c>
      <c r="Y3" s="5" t="str">
        <f t="shared" ref="Y3:Y22" si="1">IF((COUNTA(E3,J3,O3,T3))=0, "", (COUNTIF(E3, "출석")+COUNTIF(J3, "출석")+COUNTIF(O3, "출석")+COUNTIF(T3, "출석"))/(COUNTA(E3,J3,O3,T3)))</f>
        <v/>
      </c>
      <c r="Z3" s="5" t="str">
        <f t="shared" ref="Z3:Z22" si="2">IF((COUNTA(F3,G3,H3,K3,L3,M3,P3,Q3,R3,U3,V3,W3))=0, "", (COUNTIF(F3:H3, "완료")+COUNTIF(K3:M3, "완료")+COUNTIF(P3:R3, "완료")+COUNTIF(U3:W3, "완료"))/(COUNTA(F3,G3,H3,K3,L3,M3,P3,Q3,R3,U3,V3,W3)))</f>
        <v/>
      </c>
      <c r="AA3" s="6"/>
    </row>
    <row r="4" spans="1:27" ht="21.95" customHeight="1" x14ac:dyDescent="0.3">
      <c r="A4" s="3" t="s">
        <v>90</v>
      </c>
      <c r="B4" s="3"/>
      <c r="C4" s="3"/>
      <c r="D4" s="4" t="s">
        <v>77</v>
      </c>
      <c r="E4" s="4"/>
      <c r="F4" s="4"/>
      <c r="G4" s="4"/>
      <c r="H4" s="4"/>
      <c r="I4" s="4" t="s">
        <v>77</v>
      </c>
      <c r="J4" s="4"/>
      <c r="K4" s="4"/>
      <c r="L4" s="4"/>
      <c r="M4" s="4"/>
      <c r="N4" s="4" t="s">
        <v>77</v>
      </c>
      <c r="O4" s="4"/>
      <c r="P4" s="4"/>
      <c r="Q4" s="4"/>
      <c r="R4" s="4"/>
      <c r="S4" s="4"/>
      <c r="T4" s="4"/>
      <c r="U4" s="4"/>
      <c r="V4" s="4"/>
      <c r="W4" s="4"/>
      <c r="X4" s="5">
        <f t="shared" si="0"/>
        <v>1</v>
      </c>
      <c r="Y4" s="5" t="str">
        <f t="shared" si="1"/>
        <v/>
      </c>
      <c r="Z4" s="5" t="str">
        <f t="shared" si="2"/>
        <v/>
      </c>
      <c r="AA4" s="6"/>
    </row>
    <row r="5" spans="1:27" ht="21.95" customHeight="1" x14ac:dyDescent="0.3">
      <c r="A5" s="3" t="s">
        <v>91</v>
      </c>
      <c r="B5" s="3"/>
      <c r="C5" s="3"/>
      <c r="D5" s="4" t="s">
        <v>77</v>
      </c>
      <c r="E5" s="4"/>
      <c r="F5" s="4"/>
      <c r="G5" s="4"/>
      <c r="H5" s="4"/>
      <c r="I5" s="4" t="s">
        <v>77</v>
      </c>
      <c r="J5" s="4"/>
      <c r="K5" s="4"/>
      <c r="L5" s="4"/>
      <c r="M5" s="4"/>
      <c r="N5" s="4" t="s">
        <v>77</v>
      </c>
      <c r="O5" s="4"/>
      <c r="P5" s="4"/>
      <c r="Q5" s="4"/>
      <c r="R5" s="4"/>
      <c r="S5" s="4"/>
      <c r="T5" s="4"/>
      <c r="U5" s="4"/>
      <c r="V5" s="4"/>
      <c r="W5" s="4"/>
      <c r="X5" s="5">
        <f t="shared" si="0"/>
        <v>1</v>
      </c>
      <c r="Y5" s="5" t="str">
        <f t="shared" si="1"/>
        <v/>
      </c>
      <c r="Z5" s="5" t="str">
        <f t="shared" si="2"/>
        <v/>
      </c>
      <c r="AA5" s="6"/>
    </row>
    <row r="6" spans="1:27" ht="21.95" customHeight="1" x14ac:dyDescent="0.3">
      <c r="A6" s="3" t="s">
        <v>92</v>
      </c>
      <c r="B6" s="3"/>
      <c r="C6" s="3"/>
      <c r="D6" s="4" t="s">
        <v>77</v>
      </c>
      <c r="E6" s="4"/>
      <c r="F6" s="4"/>
      <c r="G6" s="4"/>
      <c r="H6" s="4"/>
      <c r="I6" s="4" t="s">
        <v>77</v>
      </c>
      <c r="J6" s="4"/>
      <c r="K6" s="4"/>
      <c r="L6" s="4"/>
      <c r="M6" s="4"/>
      <c r="N6" s="4" t="s">
        <v>77</v>
      </c>
      <c r="O6" s="4"/>
      <c r="P6" s="4"/>
      <c r="Q6" s="4"/>
      <c r="R6" s="4"/>
      <c r="S6" s="4"/>
      <c r="T6" s="4"/>
      <c r="U6" s="4"/>
      <c r="V6" s="4"/>
      <c r="W6" s="4"/>
      <c r="X6" s="5">
        <f t="shared" si="0"/>
        <v>1</v>
      </c>
      <c r="Y6" s="5" t="str">
        <f t="shared" si="1"/>
        <v/>
      </c>
      <c r="Z6" s="5" t="str">
        <f t="shared" si="2"/>
        <v/>
      </c>
      <c r="AA6" s="6"/>
    </row>
    <row r="7" spans="1:27" ht="21.95" customHeight="1" x14ac:dyDescent="0.3">
      <c r="A7" s="3" t="s">
        <v>93</v>
      </c>
      <c r="B7" s="3"/>
      <c r="C7" s="3"/>
      <c r="D7" s="4" t="s">
        <v>77</v>
      </c>
      <c r="E7" s="4"/>
      <c r="F7" s="4"/>
      <c r="G7" s="4"/>
      <c r="H7" s="4"/>
      <c r="I7" s="4" t="s">
        <v>77</v>
      </c>
      <c r="J7" s="4"/>
      <c r="K7" s="4"/>
      <c r="L7" s="4"/>
      <c r="M7" s="4"/>
      <c r="N7" s="4" t="s">
        <v>77</v>
      </c>
      <c r="O7" s="4"/>
      <c r="P7" s="4"/>
      <c r="Q7" s="4"/>
      <c r="R7" s="4"/>
      <c r="S7" s="4"/>
      <c r="T7" s="4"/>
      <c r="U7" s="4"/>
      <c r="V7" s="4"/>
      <c r="W7" s="4"/>
      <c r="X7" s="5">
        <f t="shared" si="0"/>
        <v>1</v>
      </c>
      <c r="Y7" s="5" t="str">
        <f t="shared" si="1"/>
        <v/>
      </c>
      <c r="Z7" s="5" t="str">
        <f t="shared" si="2"/>
        <v/>
      </c>
      <c r="AA7" s="6"/>
    </row>
    <row r="8" spans="1:27" ht="21.95" customHeight="1" x14ac:dyDescent="0.3">
      <c r="A8" s="3"/>
      <c r="B8" s="3"/>
      <c r="C8" s="3"/>
      <c r="D8" s="4"/>
      <c r="E8" s="4"/>
      <c r="F8" s="4"/>
      <c r="G8" s="4"/>
      <c r="H8" s="4"/>
      <c r="I8" s="4"/>
      <c r="J8" s="4"/>
      <c r="K8" s="4"/>
      <c r="L8" s="4"/>
      <c r="M8" s="4"/>
      <c r="N8" s="4"/>
      <c r="O8" s="4"/>
      <c r="P8" s="4"/>
      <c r="Q8" s="4"/>
      <c r="R8" s="4"/>
      <c r="S8" s="4"/>
      <c r="T8" s="4"/>
      <c r="U8" s="4"/>
      <c r="V8" s="4"/>
      <c r="W8" s="4"/>
      <c r="X8" s="5" t="str">
        <f t="shared" si="0"/>
        <v/>
      </c>
      <c r="Y8" s="5" t="str">
        <f t="shared" si="1"/>
        <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29" priority="1" operator="equal">
      <formula>"출석"</formula>
    </cfRule>
    <cfRule type="cellIs" dxfId="28" priority="2" operator="equal">
      <formula>"결석"</formula>
    </cfRule>
    <cfRule type="cellIs" dxfId="27" priority="3" operator="equal">
      <formula>"지각"</formula>
    </cfRule>
    <cfRule type="cellIs" dxfId="26" priority="4" operator="equal">
      <formula>"미제출"</formula>
    </cfRule>
    <cfRule type="cellIs" dxfId="25" priority="5" operator="equal">
      <formula>"미흡"</formula>
    </cfRule>
  </conditionalFormatting>
  <dataValidations count="2">
    <dataValidation type="list" allowBlank="1" error="목록에서 선택해주세요. (출석, 지각, 결석)" sqref="D3:E22 I3:J22 N3:O22 S3:T22" xr:uid="{00000000-0002-0000-0600-000000000000}">
      <formula1>"출석,지각,결석"</formula1>
    </dataValidation>
    <dataValidation type="list" allowBlank="1" error="목록에서 선택해주세요. (완료, 미흡, 미제출)" sqref="F3:H22 K3:M22 P3:R22 U3:W22" xr:uid="{00000000-0002-0000-0600-000001000000}">
      <formula1>"완료,미흡,미제출"</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2"/>
  <sheetViews>
    <sheetView workbookViewId="0">
      <pane xSplit="3" ySplit="2" topLeftCell="D3" activePane="bottomRight" state="frozen"/>
      <selection pane="topRight"/>
      <selection pane="bottomLeft"/>
      <selection pane="bottomRight" activeCell="O3" sqref="O3"/>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49</v>
      </c>
      <c r="B3" s="3"/>
      <c r="C3" s="7" t="s">
        <v>48</v>
      </c>
      <c r="D3" s="4" t="s">
        <v>77</v>
      </c>
      <c r="E3" s="4" t="s">
        <v>77</v>
      </c>
      <c r="F3" s="4"/>
      <c r="G3" s="4"/>
      <c r="H3" s="4"/>
      <c r="I3" s="4" t="s">
        <v>77</v>
      </c>
      <c r="J3" s="4" t="s">
        <v>77</v>
      </c>
      <c r="K3" s="4"/>
      <c r="L3" s="4"/>
      <c r="M3" s="4"/>
      <c r="N3" s="4" t="s">
        <v>77</v>
      </c>
      <c r="O3" s="4" t="s">
        <v>77</v>
      </c>
      <c r="P3" s="4"/>
      <c r="Q3" s="4"/>
      <c r="R3" s="4"/>
      <c r="S3" s="4"/>
      <c r="T3" s="4"/>
      <c r="U3" s="4"/>
      <c r="V3" s="4"/>
      <c r="W3" s="4"/>
      <c r="X3" s="5">
        <f t="shared" ref="X3:X22" si="0">IF((COUNTA(D3,I3,N3,S3))=0, "", (COUNTIF(D3, "출석")+COUNTIF(I3, "출석")+COUNTIF(N3, "출석")+COUNTIF(S3, "출석"))/(COUNTA(D3,I3,N3,S3)))</f>
        <v>1</v>
      </c>
      <c r="Y3" s="5">
        <f t="shared" ref="Y3:Y22" si="1">IF((COUNTA(E3,J3,O3,T3))=0, "", (COUNTIF(E3, "출석")+COUNTIF(J3, "출석")+COUNTIF(O3, "출석")+COUNTIF(T3, "출석"))/(COUNTA(E3,J3,O3,T3)))</f>
        <v>1</v>
      </c>
      <c r="Z3" s="5" t="str">
        <f t="shared" ref="Z3:Z22" si="2">IF((COUNTA(F3,G3,H3,K3,L3,M3,P3,Q3,R3,U3,V3,W3))=0, "", (COUNTIF(F3:H3, "완료")+COUNTIF(K3:M3, "완료")+COUNTIF(P3:R3, "완료")+COUNTIF(U3:W3, "완료"))/(COUNTA(F3,G3,H3,K3,L3,M3,P3,Q3,R3,U3,V3,W3)))</f>
        <v/>
      </c>
      <c r="AA3" s="6"/>
    </row>
    <row r="4" spans="1:27" ht="21.95" customHeight="1" x14ac:dyDescent="0.3">
      <c r="A4" s="3" t="s">
        <v>44</v>
      </c>
      <c r="B4" s="3"/>
      <c r="C4" s="7" t="s">
        <v>41</v>
      </c>
      <c r="D4" s="4" t="s">
        <v>77</v>
      </c>
      <c r="E4" s="4"/>
      <c r="F4" s="4"/>
      <c r="G4" s="4"/>
      <c r="H4" s="4"/>
      <c r="I4" s="4" t="s">
        <v>77</v>
      </c>
      <c r="J4" s="4" t="s">
        <v>77</v>
      </c>
      <c r="K4" s="4"/>
      <c r="L4" s="4"/>
      <c r="M4" s="4"/>
      <c r="N4" s="4" t="s">
        <v>77</v>
      </c>
      <c r="O4" s="4"/>
      <c r="P4" s="4"/>
      <c r="Q4" s="4"/>
      <c r="R4" s="4"/>
      <c r="S4" s="4"/>
      <c r="T4" s="4"/>
      <c r="U4" s="4"/>
      <c r="V4" s="4"/>
      <c r="W4" s="4"/>
      <c r="X4" s="5">
        <f t="shared" si="0"/>
        <v>1</v>
      </c>
      <c r="Y4" s="5">
        <f t="shared" si="1"/>
        <v>1</v>
      </c>
      <c r="Z4" s="5" t="str">
        <f t="shared" si="2"/>
        <v/>
      </c>
      <c r="AA4" s="6"/>
    </row>
    <row r="5" spans="1:27" ht="21.95" customHeight="1" x14ac:dyDescent="0.3">
      <c r="A5" s="3"/>
      <c r="B5" s="3"/>
      <c r="C5" s="3"/>
      <c r="D5" s="4"/>
      <c r="E5" s="4"/>
      <c r="F5" s="4"/>
      <c r="G5" s="4"/>
      <c r="H5" s="4"/>
      <c r="I5" s="4"/>
      <c r="J5" s="4"/>
      <c r="K5" s="4"/>
      <c r="L5" s="4"/>
      <c r="M5" s="4"/>
      <c r="N5" s="4"/>
      <c r="O5" s="4"/>
      <c r="P5" s="4"/>
      <c r="Q5" s="4"/>
      <c r="R5" s="4"/>
      <c r="S5" s="4"/>
      <c r="T5" s="4"/>
      <c r="U5" s="4"/>
      <c r="V5" s="4"/>
      <c r="W5" s="4"/>
      <c r="X5" s="5" t="str">
        <f t="shared" si="0"/>
        <v/>
      </c>
      <c r="Y5" s="5" t="str">
        <f t="shared" si="1"/>
        <v/>
      </c>
      <c r="Z5" s="5" t="str">
        <f t="shared" si="2"/>
        <v/>
      </c>
      <c r="AA5" s="6"/>
    </row>
    <row r="6" spans="1:27" ht="21.95" customHeight="1" x14ac:dyDescent="0.3">
      <c r="A6" s="3"/>
      <c r="B6" s="3"/>
      <c r="C6" s="3"/>
      <c r="D6" s="4"/>
      <c r="E6" s="4"/>
      <c r="F6" s="4"/>
      <c r="G6" s="4"/>
      <c r="H6" s="4"/>
      <c r="I6" s="4"/>
      <c r="J6" s="4"/>
      <c r="K6" s="4"/>
      <c r="L6" s="4"/>
      <c r="M6" s="4"/>
      <c r="N6" s="4"/>
      <c r="O6" s="4"/>
      <c r="P6" s="4"/>
      <c r="Q6" s="4"/>
      <c r="R6" s="4"/>
      <c r="S6" s="4"/>
      <c r="T6" s="4"/>
      <c r="U6" s="4"/>
      <c r="V6" s="4"/>
      <c r="W6" s="4"/>
      <c r="X6" s="5" t="str">
        <f t="shared" si="0"/>
        <v/>
      </c>
      <c r="Y6" s="5" t="str">
        <f t="shared" si="1"/>
        <v/>
      </c>
      <c r="Z6" s="5" t="str">
        <f t="shared" si="2"/>
        <v/>
      </c>
      <c r="AA6" s="6"/>
    </row>
    <row r="7" spans="1:27" ht="21.95" customHeight="1" x14ac:dyDescent="0.3">
      <c r="A7" s="3"/>
      <c r="B7" s="3"/>
      <c r="C7" s="3"/>
      <c r="D7" s="4"/>
      <c r="E7" s="4"/>
      <c r="F7" s="4"/>
      <c r="G7" s="4"/>
      <c r="H7" s="4"/>
      <c r="I7" s="4"/>
      <c r="J7" s="4"/>
      <c r="K7" s="4"/>
      <c r="L7" s="4"/>
      <c r="M7" s="4"/>
      <c r="N7" s="4"/>
      <c r="O7" s="4"/>
      <c r="P7" s="4"/>
      <c r="Q7" s="4"/>
      <c r="R7" s="4"/>
      <c r="S7" s="4"/>
      <c r="T7" s="4"/>
      <c r="U7" s="4"/>
      <c r="V7" s="4"/>
      <c r="W7" s="4"/>
      <c r="X7" s="5" t="str">
        <f t="shared" si="0"/>
        <v/>
      </c>
      <c r="Y7" s="5" t="str">
        <f t="shared" si="1"/>
        <v/>
      </c>
      <c r="Z7" s="5" t="str">
        <f t="shared" si="2"/>
        <v/>
      </c>
      <c r="AA7" s="6"/>
    </row>
    <row r="8" spans="1:27" ht="21.95" customHeight="1" x14ac:dyDescent="0.3">
      <c r="A8" s="3"/>
      <c r="B8" s="3"/>
      <c r="C8" s="3"/>
      <c r="D8" s="4"/>
      <c r="E8" s="4"/>
      <c r="F8" s="4"/>
      <c r="G8" s="4"/>
      <c r="H8" s="4"/>
      <c r="I8" s="4"/>
      <c r="J8" s="4"/>
      <c r="K8" s="4"/>
      <c r="L8" s="4"/>
      <c r="M8" s="4"/>
      <c r="N8" s="4"/>
      <c r="O8" s="4"/>
      <c r="P8" s="4"/>
      <c r="Q8" s="4"/>
      <c r="R8" s="4"/>
      <c r="S8" s="4"/>
      <c r="T8" s="4"/>
      <c r="U8" s="4"/>
      <c r="V8" s="4"/>
      <c r="W8" s="4"/>
      <c r="X8" s="5" t="str">
        <f t="shared" si="0"/>
        <v/>
      </c>
      <c r="Y8" s="5" t="str">
        <f t="shared" si="1"/>
        <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24" priority="1" operator="equal">
      <formula>"출석"</formula>
    </cfRule>
    <cfRule type="cellIs" dxfId="23" priority="2" operator="equal">
      <formula>"결석"</formula>
    </cfRule>
    <cfRule type="cellIs" dxfId="22" priority="3" operator="equal">
      <formula>"지각"</formula>
    </cfRule>
    <cfRule type="cellIs" dxfId="21" priority="4" operator="equal">
      <formula>"미제출"</formula>
    </cfRule>
    <cfRule type="cellIs" dxfId="20" priority="5" operator="equal">
      <formula>"미흡"</formula>
    </cfRule>
  </conditionalFormatting>
  <dataValidations count="2">
    <dataValidation type="list" allowBlank="1" error="목록에서 선택해주세요. (출석, 지각, 결석)" sqref="D3:E22 I3:J22 N3:O22 S3:T22" xr:uid="{00000000-0002-0000-0700-000000000000}">
      <formula1>"출석,지각,결석"</formula1>
    </dataValidation>
    <dataValidation type="list" allowBlank="1" error="목록에서 선택해주세요. (완료, 미흡, 미제출)" sqref="F3:H22 K3:M22 P3:R22 U3:W22" xr:uid="{00000000-0002-0000-0700-000001000000}">
      <formula1>"완료,미흡,미제출"</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2"/>
  <sheetViews>
    <sheetView workbookViewId="0">
      <pane xSplit="3" ySplit="2" topLeftCell="D3" activePane="bottomRight" state="frozen"/>
      <selection pane="topRight"/>
      <selection pane="bottomLeft"/>
      <selection pane="bottomRight" activeCell="O3" sqref="O3"/>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94</v>
      </c>
      <c r="B3" s="3" t="s">
        <v>6</v>
      </c>
      <c r="C3" s="7" t="s">
        <v>105</v>
      </c>
      <c r="D3" s="4" t="s">
        <v>77</v>
      </c>
      <c r="E3" s="4" t="s">
        <v>77</v>
      </c>
      <c r="F3" s="4"/>
      <c r="G3" s="4"/>
      <c r="H3" s="4"/>
      <c r="I3" s="4" t="s">
        <v>77</v>
      </c>
      <c r="J3" s="4" t="s">
        <v>77</v>
      </c>
      <c r="K3" s="4"/>
      <c r="L3" s="4"/>
      <c r="M3" s="4"/>
      <c r="N3" s="4" t="s">
        <v>77</v>
      </c>
      <c r="O3" s="4" t="s">
        <v>77</v>
      </c>
      <c r="P3" s="4"/>
      <c r="Q3" s="4"/>
      <c r="R3" s="4"/>
      <c r="S3" s="4"/>
      <c r="T3" s="4"/>
      <c r="U3" s="4"/>
      <c r="V3" s="4"/>
      <c r="W3" s="4"/>
      <c r="X3" s="5">
        <f t="shared" ref="X3:X22" si="0">IF((COUNTA(D3,I3,N3,S3))=0, "", (COUNTIF(D3, "출석")+COUNTIF(I3, "출석")+COUNTIF(N3, "출석")+COUNTIF(S3, "출석"))/(COUNTA(D3,I3,N3,S3)))</f>
        <v>1</v>
      </c>
      <c r="Y3" s="5">
        <f t="shared" ref="Y3:Y22" si="1">IF((COUNTA(E3,J3,O3,T3))=0, "", (COUNTIF(E3, "출석")+COUNTIF(J3, "출석")+COUNTIF(O3, "출석")+COUNTIF(T3, "출석"))/(COUNTA(E3,J3,O3,T3)))</f>
        <v>1</v>
      </c>
      <c r="Z3" s="5" t="str">
        <f t="shared" ref="Z3:Z22" si="2">IF((COUNTA(F3,G3,H3,K3,L3,M3,P3,Q3,R3,U3,V3,W3))=0, "", (COUNTIF(F3:H3, "완료")+COUNTIF(K3:M3, "완료")+COUNTIF(P3:R3, "완료")+COUNTIF(U3:W3, "완료"))/(COUNTA(F3,G3,H3,K3,L3,M3,P3,Q3,R3,U3,V3,W3)))</f>
        <v/>
      </c>
      <c r="AA3" s="6"/>
    </row>
    <row r="4" spans="1:27" ht="21.95" customHeight="1" x14ac:dyDescent="0.3">
      <c r="A4" s="3" t="s">
        <v>7</v>
      </c>
      <c r="B4" s="3" t="s">
        <v>6</v>
      </c>
      <c r="C4" s="7" t="s">
        <v>4</v>
      </c>
      <c r="D4" s="4" t="s">
        <v>77</v>
      </c>
      <c r="E4" s="4" t="s">
        <v>77</v>
      </c>
      <c r="F4" s="4"/>
      <c r="G4" s="4"/>
      <c r="H4" s="4"/>
      <c r="I4" s="4" t="s">
        <v>77</v>
      </c>
      <c r="J4" s="4" t="s">
        <v>77</v>
      </c>
      <c r="K4" s="4"/>
      <c r="L4" s="4"/>
      <c r="M4" s="4"/>
      <c r="N4" s="4" t="s">
        <v>77</v>
      </c>
      <c r="O4" s="4" t="s">
        <v>77</v>
      </c>
      <c r="P4" s="4"/>
      <c r="Q4" s="4"/>
      <c r="R4" s="4"/>
      <c r="S4" s="4"/>
      <c r="T4" s="4"/>
      <c r="U4" s="4"/>
      <c r="V4" s="4"/>
      <c r="W4" s="4"/>
      <c r="X4" s="5">
        <f t="shared" si="0"/>
        <v>1</v>
      </c>
      <c r="Y4" s="5">
        <f t="shared" si="1"/>
        <v>1</v>
      </c>
      <c r="Z4" s="5" t="str">
        <f t="shared" si="2"/>
        <v/>
      </c>
      <c r="AA4" s="6"/>
    </row>
    <row r="5" spans="1:27" ht="21.95" customHeight="1" x14ac:dyDescent="0.3">
      <c r="A5" s="3" t="s">
        <v>13</v>
      </c>
      <c r="B5" s="3" t="s">
        <v>6</v>
      </c>
      <c r="C5" s="7" t="s">
        <v>8</v>
      </c>
      <c r="D5" s="4" t="s">
        <v>77</v>
      </c>
      <c r="E5" s="4" t="s">
        <v>77</v>
      </c>
      <c r="F5" s="4"/>
      <c r="G5" s="4"/>
      <c r="H5" s="4"/>
      <c r="I5" s="4" t="s">
        <v>77</v>
      </c>
      <c r="J5" s="4" t="s">
        <v>77</v>
      </c>
      <c r="K5" s="4"/>
      <c r="L5" s="4"/>
      <c r="M5" s="4"/>
      <c r="N5" s="4" t="s">
        <v>77</v>
      </c>
      <c r="O5" s="4" t="s">
        <v>77</v>
      </c>
      <c r="P5" s="4"/>
      <c r="Q5" s="4"/>
      <c r="R5" s="4"/>
      <c r="S5" s="4"/>
      <c r="T5" s="4"/>
      <c r="U5" s="4"/>
      <c r="V5" s="4"/>
      <c r="W5" s="4"/>
      <c r="X5" s="5">
        <f t="shared" si="0"/>
        <v>1</v>
      </c>
      <c r="Y5" s="5">
        <f t="shared" si="1"/>
        <v>1</v>
      </c>
      <c r="Z5" s="5" t="str">
        <f t="shared" si="2"/>
        <v/>
      </c>
      <c r="AA5" s="6"/>
    </row>
    <row r="6" spans="1:27" ht="21.95" customHeight="1" x14ac:dyDescent="0.3">
      <c r="A6" s="3" t="s">
        <v>15</v>
      </c>
      <c r="B6" s="3" t="s">
        <v>6</v>
      </c>
      <c r="C6" s="7" t="s">
        <v>14</v>
      </c>
      <c r="D6" s="4" t="s">
        <v>77</v>
      </c>
      <c r="E6" s="4" t="s">
        <v>77</v>
      </c>
      <c r="F6" s="4"/>
      <c r="G6" s="4"/>
      <c r="H6" s="4"/>
      <c r="I6" s="4" t="s">
        <v>77</v>
      </c>
      <c r="J6" s="4" t="s">
        <v>77</v>
      </c>
      <c r="K6" s="4"/>
      <c r="L6" s="4"/>
      <c r="M6" s="4"/>
      <c r="N6" s="4" t="s">
        <v>77</v>
      </c>
      <c r="O6" s="4" t="s">
        <v>77</v>
      </c>
      <c r="P6" s="4"/>
      <c r="Q6" s="4"/>
      <c r="R6" s="4"/>
      <c r="S6" s="4"/>
      <c r="T6" s="4"/>
      <c r="U6" s="4"/>
      <c r="V6" s="4"/>
      <c r="W6" s="4"/>
      <c r="X6" s="5">
        <f t="shared" si="0"/>
        <v>1</v>
      </c>
      <c r="Y6" s="5">
        <f t="shared" si="1"/>
        <v>1</v>
      </c>
      <c r="Z6" s="5" t="str">
        <f t="shared" si="2"/>
        <v/>
      </c>
      <c r="AA6" s="6"/>
    </row>
    <row r="7" spans="1:27" ht="21.95" customHeight="1" x14ac:dyDescent="0.3">
      <c r="A7" s="3" t="s">
        <v>34</v>
      </c>
      <c r="B7" s="3" t="s">
        <v>6</v>
      </c>
      <c r="C7" s="7" t="s">
        <v>33</v>
      </c>
      <c r="D7" s="4" t="s">
        <v>77</v>
      </c>
      <c r="E7" s="4" t="s">
        <v>77</v>
      </c>
      <c r="F7" s="4"/>
      <c r="G7" s="4"/>
      <c r="H7" s="4"/>
      <c r="I7" s="4" t="s">
        <v>77</v>
      </c>
      <c r="J7" s="4" t="s">
        <v>77</v>
      </c>
      <c r="K7" s="4"/>
      <c r="L7" s="4"/>
      <c r="M7" s="4"/>
      <c r="N7" s="4" t="s">
        <v>77</v>
      </c>
      <c r="O7" s="4" t="s">
        <v>77</v>
      </c>
      <c r="P7" s="4"/>
      <c r="Q7" s="4"/>
      <c r="R7" s="4"/>
      <c r="S7" s="4"/>
      <c r="T7" s="4"/>
      <c r="U7" s="4"/>
      <c r="V7" s="4"/>
      <c r="W7" s="4"/>
      <c r="X7" s="5">
        <f t="shared" si="0"/>
        <v>1</v>
      </c>
      <c r="Y7" s="5">
        <f t="shared" si="1"/>
        <v>1</v>
      </c>
      <c r="Z7" s="5" t="str">
        <f t="shared" si="2"/>
        <v/>
      </c>
      <c r="AA7" s="6"/>
    </row>
    <row r="8" spans="1:27" ht="21.95" customHeight="1" x14ac:dyDescent="0.3">
      <c r="A8" s="3" t="s">
        <v>38</v>
      </c>
      <c r="B8" s="3" t="s">
        <v>6</v>
      </c>
      <c r="C8" s="7" t="s">
        <v>35</v>
      </c>
      <c r="D8" s="4" t="s">
        <v>77</v>
      </c>
      <c r="E8" s="4" t="s">
        <v>77</v>
      </c>
      <c r="F8" s="4"/>
      <c r="G8" s="4"/>
      <c r="H8" s="4"/>
      <c r="I8" s="4" t="s">
        <v>77</v>
      </c>
      <c r="J8" s="4" t="s">
        <v>77</v>
      </c>
      <c r="K8" s="4"/>
      <c r="L8" s="4"/>
      <c r="M8" s="4"/>
      <c r="N8" s="4" t="s">
        <v>77</v>
      </c>
      <c r="O8" s="4" t="s">
        <v>77</v>
      </c>
      <c r="P8" s="4"/>
      <c r="Q8" s="4"/>
      <c r="R8" s="4"/>
      <c r="S8" s="4"/>
      <c r="T8" s="4"/>
      <c r="U8" s="4"/>
      <c r="V8" s="4"/>
      <c r="W8" s="4"/>
      <c r="X8" s="5">
        <f t="shared" si="0"/>
        <v>1</v>
      </c>
      <c r="Y8" s="5">
        <f t="shared" si="1"/>
        <v>1</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19" priority="1" operator="equal">
      <formula>"출석"</formula>
    </cfRule>
    <cfRule type="cellIs" dxfId="18" priority="2" operator="equal">
      <formula>"결석"</formula>
    </cfRule>
    <cfRule type="cellIs" dxfId="17" priority="3" operator="equal">
      <formula>"지각"</formula>
    </cfRule>
    <cfRule type="cellIs" dxfId="16" priority="4" operator="equal">
      <formula>"미제출"</formula>
    </cfRule>
    <cfRule type="cellIs" dxfId="15" priority="5" operator="equal">
      <formula>"미흡"</formula>
    </cfRule>
  </conditionalFormatting>
  <dataValidations count="2">
    <dataValidation type="list" allowBlank="1" error="목록에서 선택해주세요. (출석, 지각, 결석)" sqref="D3:E22 I3:J22 S3:T22 N3:O22" xr:uid="{00000000-0002-0000-0800-000000000000}">
      <formula1>"출석,지각,결석"</formula1>
    </dataValidation>
    <dataValidation type="list" allowBlank="1" error="목록에서 선택해주세요. (완료, 미흡, 미제출)" sqref="F3:H22 K3:M22 P3:R22 U3:W22" xr:uid="{00000000-0002-0000-0800-000001000000}">
      <formula1>"완료,미흡,미제출"</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2"/>
  <sheetViews>
    <sheetView workbookViewId="0">
      <pane xSplit="3" ySplit="2" topLeftCell="D3" activePane="bottomRight" state="frozen"/>
      <selection pane="topRight"/>
      <selection pane="bottomLeft"/>
      <selection pane="bottomRight" activeCell="Q33" sqref="Q33"/>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51</v>
      </c>
      <c r="B3" s="3" t="s">
        <v>25</v>
      </c>
      <c r="C3" s="7" t="s">
        <v>48</v>
      </c>
      <c r="D3" s="4" t="s">
        <v>75</v>
      </c>
      <c r="E3" s="4" t="s">
        <v>77</v>
      </c>
      <c r="F3" s="4"/>
      <c r="G3" s="4"/>
      <c r="H3" s="4"/>
      <c r="I3" s="4" t="s">
        <v>77</v>
      </c>
      <c r="J3" s="4" t="s">
        <v>77</v>
      </c>
      <c r="K3" s="4"/>
      <c r="L3" s="4"/>
      <c r="M3" s="4"/>
      <c r="N3" s="4" t="s">
        <v>97</v>
      </c>
      <c r="O3" s="4" t="s">
        <v>75</v>
      </c>
      <c r="P3" s="4"/>
      <c r="Q3" s="4"/>
      <c r="R3" s="4"/>
      <c r="S3" s="4"/>
      <c r="T3" s="4"/>
      <c r="U3" s="4"/>
      <c r="V3" s="4"/>
      <c r="W3" s="4"/>
      <c r="X3" s="5">
        <f t="shared" ref="X3:X22" si="0">IF((COUNTA(D3,I3,N3,S3))=0, "", (COUNTIF(D3, "출석")+COUNTIF(I3, "출석")+COUNTIF(N3, "출석")+COUNTIF(S3, "출석"))/(COUNTA(D3,I3,N3,S3)))</f>
        <v>0.33333333333333331</v>
      </c>
      <c r="Y3" s="5">
        <f t="shared" ref="Y3:Y22" si="1">IF((COUNTA(E3,J3,O3,T3))=0, "", (COUNTIF(E3, "출석")+COUNTIF(J3, "출석")+COUNTIF(O3, "출석")+COUNTIF(T3, "출석"))/(COUNTA(E3,J3,O3,T3)))</f>
        <v>0.66666666666666663</v>
      </c>
      <c r="Z3" s="5" t="str">
        <f t="shared" ref="Z3:Z22" si="2">IF((COUNTA(F3,G3,H3,K3,L3,M3,P3,Q3,R3,U3,V3,W3))=0, "", (COUNTIF(F3:H3, "완료")+COUNTIF(K3:M3, "완료")+COUNTIF(P3:R3, "완료")+COUNTIF(U3:W3, "완료"))/(COUNTA(F3,G3,H3,K3,L3,M3,P3,Q3,R3,U3,V3,W3)))</f>
        <v/>
      </c>
      <c r="AA3" s="6"/>
    </row>
    <row r="4" spans="1:27" ht="21.95" customHeight="1" x14ac:dyDescent="0.3">
      <c r="A4" s="3" t="s">
        <v>50</v>
      </c>
      <c r="B4" s="3" t="s">
        <v>25</v>
      </c>
      <c r="C4" s="7" t="s">
        <v>48</v>
      </c>
      <c r="D4" s="4" t="s">
        <v>77</v>
      </c>
      <c r="E4" s="4" t="s">
        <v>77</v>
      </c>
      <c r="F4" s="4"/>
      <c r="G4" s="4"/>
      <c r="H4" s="4"/>
      <c r="I4" s="4" t="s">
        <v>77</v>
      </c>
      <c r="J4" s="4" t="s">
        <v>77</v>
      </c>
      <c r="K4" s="4"/>
      <c r="L4" s="4"/>
      <c r="M4" s="4"/>
      <c r="N4" s="4" t="s">
        <v>77</v>
      </c>
      <c r="O4" s="4" t="s">
        <v>77</v>
      </c>
      <c r="P4" s="4"/>
      <c r="Q4" s="4"/>
      <c r="R4" s="4"/>
      <c r="S4" s="4"/>
      <c r="T4" s="4"/>
      <c r="U4" s="4"/>
      <c r="V4" s="4"/>
      <c r="W4" s="4"/>
      <c r="X4" s="5">
        <f t="shared" si="0"/>
        <v>1</v>
      </c>
      <c r="Y4" s="5">
        <f t="shared" si="1"/>
        <v>1</v>
      </c>
      <c r="Z4" s="5" t="str">
        <f t="shared" si="2"/>
        <v/>
      </c>
      <c r="AA4" s="6"/>
    </row>
    <row r="5" spans="1:27" ht="21.95" customHeight="1" x14ac:dyDescent="0.3">
      <c r="A5" s="3" t="s">
        <v>26</v>
      </c>
      <c r="B5" s="3" t="s">
        <v>25</v>
      </c>
      <c r="C5" s="7" t="s">
        <v>22</v>
      </c>
      <c r="D5" s="4" t="s">
        <v>77</v>
      </c>
      <c r="E5" s="4" t="s">
        <v>77</v>
      </c>
      <c r="F5" s="4"/>
      <c r="G5" s="4"/>
      <c r="H5" s="4"/>
      <c r="I5" s="4" t="s">
        <v>77</v>
      </c>
      <c r="J5" s="4" t="s">
        <v>75</v>
      </c>
      <c r="K5" s="4"/>
      <c r="L5" s="4"/>
      <c r="M5" s="4"/>
      <c r="N5" s="4" t="s">
        <v>77</v>
      </c>
      <c r="O5" s="4" t="s">
        <v>75</v>
      </c>
      <c r="P5" s="4"/>
      <c r="Q5" s="4"/>
      <c r="R5" s="4"/>
      <c r="S5" s="4"/>
      <c r="T5" s="4"/>
      <c r="U5" s="4"/>
      <c r="V5" s="4"/>
      <c r="W5" s="4"/>
      <c r="X5" s="5">
        <f t="shared" si="0"/>
        <v>1</v>
      </c>
      <c r="Y5" s="5">
        <f t="shared" si="1"/>
        <v>0.33333333333333331</v>
      </c>
      <c r="Z5" s="5" t="str">
        <f t="shared" si="2"/>
        <v/>
      </c>
      <c r="AA5" s="6"/>
    </row>
    <row r="6" spans="1:27" ht="21.95" customHeight="1" x14ac:dyDescent="0.3">
      <c r="A6" s="3" t="s">
        <v>47</v>
      </c>
      <c r="B6" s="3" t="s">
        <v>25</v>
      </c>
      <c r="C6" s="7" t="s">
        <v>46</v>
      </c>
      <c r="D6" s="4" t="s">
        <v>77</v>
      </c>
      <c r="E6" s="4" t="s">
        <v>77</v>
      </c>
      <c r="F6" s="4"/>
      <c r="G6" s="4"/>
      <c r="H6" s="4"/>
      <c r="I6" s="4" t="s">
        <v>77</v>
      </c>
      <c r="J6" s="4" t="s">
        <v>77</v>
      </c>
      <c r="K6" s="4"/>
      <c r="L6" s="4"/>
      <c r="M6" s="4"/>
      <c r="N6" s="4" t="s">
        <v>97</v>
      </c>
      <c r="O6" s="4" t="s">
        <v>77</v>
      </c>
      <c r="P6" s="4"/>
      <c r="Q6" s="4"/>
      <c r="R6" s="4"/>
      <c r="S6" s="4"/>
      <c r="T6" s="4"/>
      <c r="U6" s="4"/>
      <c r="V6" s="4"/>
      <c r="W6" s="4"/>
      <c r="X6" s="5">
        <f t="shared" si="0"/>
        <v>0.66666666666666663</v>
      </c>
      <c r="Y6" s="5">
        <f t="shared" si="1"/>
        <v>1</v>
      </c>
      <c r="Z6" s="5" t="str">
        <f t="shared" si="2"/>
        <v/>
      </c>
      <c r="AA6" s="6"/>
    </row>
    <row r="7" spans="1:27" ht="21.95" customHeight="1" x14ac:dyDescent="0.3">
      <c r="A7" s="3"/>
      <c r="B7" s="3"/>
      <c r="C7" s="3"/>
      <c r="D7" s="4"/>
      <c r="E7" s="4"/>
      <c r="F7" s="4"/>
      <c r="G7" s="4"/>
      <c r="H7" s="4"/>
      <c r="I7" s="4"/>
      <c r="J7" s="4"/>
      <c r="K7" s="4"/>
      <c r="L7" s="4"/>
      <c r="M7" s="4"/>
      <c r="N7" s="4"/>
      <c r="O7" s="4"/>
      <c r="P7" s="4"/>
      <c r="Q7" s="4"/>
      <c r="R7" s="4"/>
      <c r="S7" s="4"/>
      <c r="T7" s="4"/>
      <c r="U7" s="4"/>
      <c r="V7" s="4"/>
      <c r="W7" s="4"/>
      <c r="X7" s="5" t="str">
        <f t="shared" si="0"/>
        <v/>
      </c>
      <c r="Y7" s="5" t="str">
        <f t="shared" si="1"/>
        <v/>
      </c>
      <c r="Z7" s="5" t="str">
        <f t="shared" si="2"/>
        <v/>
      </c>
      <c r="AA7" s="6"/>
    </row>
    <row r="8" spans="1:27" ht="21.95" customHeight="1" x14ac:dyDescent="0.3">
      <c r="A8" s="3"/>
      <c r="B8" s="3"/>
      <c r="C8" s="3"/>
      <c r="D8" s="4"/>
      <c r="E8" s="4"/>
      <c r="F8" s="4"/>
      <c r="G8" s="4"/>
      <c r="H8" s="4"/>
      <c r="I8" s="4"/>
      <c r="J8" s="4"/>
      <c r="K8" s="4"/>
      <c r="L8" s="4"/>
      <c r="M8" s="4"/>
      <c r="N8" s="4"/>
      <c r="O8" s="4"/>
      <c r="P8" s="4"/>
      <c r="Q8" s="4"/>
      <c r="R8" s="4"/>
      <c r="S8" s="4"/>
      <c r="T8" s="4"/>
      <c r="U8" s="4"/>
      <c r="V8" s="4"/>
      <c r="W8" s="4"/>
      <c r="X8" s="5" t="str">
        <f t="shared" si="0"/>
        <v/>
      </c>
      <c r="Y8" s="5" t="str">
        <f t="shared" si="1"/>
        <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14" priority="1" operator="equal">
      <formula>"출석"</formula>
    </cfRule>
    <cfRule type="cellIs" dxfId="13" priority="2" operator="equal">
      <formula>"결석"</formula>
    </cfRule>
    <cfRule type="cellIs" dxfId="12" priority="3" operator="equal">
      <formula>"지각"</formula>
    </cfRule>
    <cfRule type="cellIs" dxfId="11" priority="4" operator="equal">
      <formula>"미제출"</formula>
    </cfRule>
    <cfRule type="cellIs" dxfId="10" priority="5" operator="equal">
      <formula>"미흡"</formula>
    </cfRule>
  </conditionalFormatting>
  <dataValidations count="2">
    <dataValidation type="list" allowBlank="1" error="목록에서 선택해주세요. (출석, 지각, 결석)" sqref="D3:E22 I3:J22 S3:T22 N3:O22" xr:uid="{00000000-0002-0000-0900-000000000000}">
      <formula1>"출석,지각,결석"</formula1>
    </dataValidation>
    <dataValidation type="list" allowBlank="1" error="목록에서 선택해주세요. (완료, 미흡, 미제출)" sqref="F3:H22 K3:M22 P3:R22 U3:W22" xr:uid="{00000000-0002-0000-0900-000001000000}">
      <formula1>"완료,미흡,미제출"</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22"/>
  <sheetViews>
    <sheetView workbookViewId="0">
      <pane xSplit="3" ySplit="2" topLeftCell="D3" activePane="bottomRight" state="frozen"/>
      <selection pane="topRight"/>
      <selection pane="bottomLeft"/>
      <selection pane="bottomRight" activeCell="AC6" sqref="AC6"/>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95</v>
      </c>
      <c r="B3" s="3"/>
      <c r="C3" s="3"/>
      <c r="D3" s="4" t="s">
        <v>77</v>
      </c>
      <c r="E3" s="4"/>
      <c r="F3" s="4"/>
      <c r="G3" s="4"/>
      <c r="H3" s="4"/>
      <c r="I3" s="4" t="s">
        <v>77</v>
      </c>
      <c r="J3" s="4"/>
      <c r="K3" s="4"/>
      <c r="L3" s="4"/>
      <c r="M3" s="4"/>
      <c r="N3" s="4" t="s">
        <v>77</v>
      </c>
      <c r="O3" s="4"/>
      <c r="P3" s="4"/>
      <c r="Q3" s="4"/>
      <c r="R3" s="4"/>
      <c r="S3" s="4"/>
      <c r="T3" s="4"/>
      <c r="U3" s="4"/>
      <c r="V3" s="4"/>
      <c r="W3" s="4"/>
      <c r="X3" s="5">
        <f t="shared" ref="X3:X22" si="0">IF((COUNTA(D3,I3,N3,S3))=0, "", (COUNTIF(D3, "출석")+COUNTIF(I3, "출석")+COUNTIF(N3, "출석")+COUNTIF(S3, "출석"))/(COUNTA(D3,I3,N3,S3)))</f>
        <v>1</v>
      </c>
      <c r="Y3" s="5" t="str">
        <f t="shared" ref="Y3:Y22" si="1">IF((COUNTA(E3,J3,O3,T3))=0, "", (COUNTIF(E3, "출석")+COUNTIF(J3, "출석")+COUNTIF(O3, "출석")+COUNTIF(T3, "출석"))/(COUNTA(E3,J3,O3,T3)))</f>
        <v/>
      </c>
      <c r="Z3" s="5" t="str">
        <f t="shared" ref="Z3:Z22" si="2">IF((COUNTA(F3,G3,H3,K3,L3,M3,P3,Q3,R3,U3,V3,W3))=0, "", (COUNTIF(F3:H3, "완료")+COUNTIF(K3:M3, "완료")+COUNTIF(P3:R3, "완료")+COUNTIF(U3:W3, "완료"))/(COUNTA(F3,G3,H3,K3,L3,M3,P3,Q3,R3,U3,V3,W3)))</f>
        <v/>
      </c>
      <c r="AA3" s="6"/>
    </row>
    <row r="4" spans="1:27" ht="21.95" customHeight="1" x14ac:dyDescent="0.3">
      <c r="A4" s="3" t="s">
        <v>96</v>
      </c>
      <c r="B4" s="3"/>
      <c r="C4" s="3"/>
      <c r="D4" s="4" t="s">
        <v>77</v>
      </c>
      <c r="E4" s="4"/>
      <c r="F4" s="4"/>
      <c r="G4" s="4"/>
      <c r="H4" s="4"/>
      <c r="I4" s="4" t="s">
        <v>77</v>
      </c>
      <c r="J4" s="4"/>
      <c r="K4" s="4"/>
      <c r="L4" s="4"/>
      <c r="M4" s="4"/>
      <c r="N4" s="4" t="s">
        <v>77</v>
      </c>
      <c r="O4" s="4"/>
      <c r="P4" s="4" t="s">
        <v>79</v>
      </c>
      <c r="Q4" s="4"/>
      <c r="R4" s="4"/>
      <c r="S4" s="4"/>
      <c r="T4" s="4"/>
      <c r="U4" s="4"/>
      <c r="V4" s="4"/>
      <c r="W4" s="4"/>
      <c r="X4" s="5">
        <f t="shared" si="0"/>
        <v>1</v>
      </c>
      <c r="Y4" s="5" t="str">
        <f t="shared" si="1"/>
        <v/>
      </c>
      <c r="Z4" s="5">
        <f t="shared" si="2"/>
        <v>0</v>
      </c>
      <c r="AA4" s="6"/>
    </row>
    <row r="5" spans="1:27" ht="21.95" customHeight="1" x14ac:dyDescent="0.3">
      <c r="A5" s="3"/>
      <c r="B5" s="3"/>
      <c r="C5" s="3"/>
      <c r="D5" s="4"/>
      <c r="E5" s="4"/>
      <c r="F5" s="4"/>
      <c r="G5" s="4"/>
      <c r="H5" s="4"/>
      <c r="I5" s="4"/>
      <c r="J5" s="4"/>
      <c r="K5" s="4"/>
      <c r="L5" s="4"/>
      <c r="M5" s="4"/>
      <c r="N5" s="4"/>
      <c r="O5" s="4"/>
      <c r="P5" s="4"/>
      <c r="Q5" s="4"/>
      <c r="R5" s="4"/>
      <c r="S5" s="4"/>
      <c r="T5" s="4"/>
      <c r="U5" s="4"/>
      <c r="V5" s="4"/>
      <c r="W5" s="4"/>
      <c r="X5" s="5" t="str">
        <f t="shared" si="0"/>
        <v/>
      </c>
      <c r="Y5" s="5" t="str">
        <f t="shared" si="1"/>
        <v/>
      </c>
      <c r="Z5" s="5" t="str">
        <f t="shared" si="2"/>
        <v/>
      </c>
      <c r="AA5" s="6"/>
    </row>
    <row r="6" spans="1:27" ht="21.95" customHeight="1" x14ac:dyDescent="0.3">
      <c r="A6" s="3"/>
      <c r="B6" s="3"/>
      <c r="C6" s="3"/>
      <c r="D6" s="4"/>
      <c r="E6" s="4"/>
      <c r="F6" s="4"/>
      <c r="G6" s="4"/>
      <c r="H6" s="4"/>
      <c r="I6" s="4"/>
      <c r="J6" s="4"/>
      <c r="K6" s="4"/>
      <c r="L6" s="4"/>
      <c r="M6" s="4"/>
      <c r="N6" s="4"/>
      <c r="O6" s="4"/>
      <c r="P6" s="4"/>
      <c r="Q6" s="4"/>
      <c r="R6" s="4"/>
      <c r="S6" s="4"/>
      <c r="T6" s="4"/>
      <c r="U6" s="4"/>
      <c r="V6" s="4"/>
      <c r="W6" s="4"/>
      <c r="X6" s="5" t="str">
        <f t="shared" si="0"/>
        <v/>
      </c>
      <c r="Y6" s="5" t="str">
        <f t="shared" si="1"/>
        <v/>
      </c>
      <c r="Z6" s="5" t="str">
        <f t="shared" si="2"/>
        <v/>
      </c>
      <c r="AA6" s="6"/>
    </row>
    <row r="7" spans="1:27" ht="21.95" customHeight="1" x14ac:dyDescent="0.3">
      <c r="A7" s="3"/>
      <c r="B7" s="3"/>
      <c r="C7" s="3"/>
      <c r="D7" s="4"/>
      <c r="E7" s="4"/>
      <c r="F7" s="4"/>
      <c r="G7" s="4"/>
      <c r="H7" s="4"/>
      <c r="I7" s="4"/>
      <c r="J7" s="4"/>
      <c r="K7" s="4"/>
      <c r="L7" s="4"/>
      <c r="M7" s="4"/>
      <c r="N7" s="4"/>
      <c r="O7" s="4"/>
      <c r="P7" s="4"/>
      <c r="Q7" s="4"/>
      <c r="R7" s="4"/>
      <c r="S7" s="4"/>
      <c r="T7" s="4"/>
      <c r="U7" s="4"/>
      <c r="V7" s="4"/>
      <c r="W7" s="4"/>
      <c r="X7" s="5" t="str">
        <f t="shared" si="0"/>
        <v/>
      </c>
      <c r="Y7" s="5" t="str">
        <f t="shared" si="1"/>
        <v/>
      </c>
      <c r="Z7" s="5" t="str">
        <f t="shared" si="2"/>
        <v/>
      </c>
      <c r="AA7" s="6"/>
    </row>
    <row r="8" spans="1:27" ht="21.95" customHeight="1" x14ac:dyDescent="0.3">
      <c r="A8" s="3"/>
      <c r="B8" s="3"/>
      <c r="C8" s="3"/>
      <c r="D8" s="4"/>
      <c r="E8" s="4"/>
      <c r="F8" s="4"/>
      <c r="G8" s="4"/>
      <c r="H8" s="4"/>
      <c r="I8" s="4"/>
      <c r="J8" s="4"/>
      <c r="K8" s="4"/>
      <c r="L8" s="4"/>
      <c r="M8" s="4"/>
      <c r="N8" s="4"/>
      <c r="O8" s="4"/>
      <c r="P8" s="4"/>
      <c r="Q8" s="4"/>
      <c r="R8" s="4"/>
      <c r="S8" s="4"/>
      <c r="T8" s="4"/>
      <c r="U8" s="4"/>
      <c r="V8" s="4"/>
      <c r="W8" s="4"/>
      <c r="X8" s="5" t="str">
        <f t="shared" si="0"/>
        <v/>
      </c>
      <c r="Y8" s="5" t="str">
        <f t="shared" si="1"/>
        <v/>
      </c>
      <c r="Z8" s="5" t="str">
        <f t="shared" si="2"/>
        <v/>
      </c>
      <c r="AA8" s="6"/>
    </row>
    <row r="9" spans="1:27" ht="21.95" customHeight="1" x14ac:dyDescent="0.3">
      <c r="A9" s="3"/>
      <c r="B9" s="3"/>
      <c r="C9" s="3"/>
      <c r="D9" s="4"/>
      <c r="E9" s="4"/>
      <c r="F9" s="4"/>
      <c r="G9" s="4"/>
      <c r="H9" s="4"/>
      <c r="I9" s="4"/>
      <c r="J9" s="4"/>
      <c r="K9" s="4"/>
      <c r="L9" s="4"/>
      <c r="M9" s="4"/>
      <c r="N9" s="4"/>
      <c r="O9" s="4"/>
      <c r="P9" s="4"/>
      <c r="Q9" s="4"/>
      <c r="R9" s="4"/>
      <c r="S9" s="4"/>
      <c r="T9" s="4"/>
      <c r="U9" s="4"/>
      <c r="V9" s="4"/>
      <c r="W9" s="4"/>
      <c r="X9" s="5" t="str">
        <f t="shared" si="0"/>
        <v/>
      </c>
      <c r="Y9" s="5" t="str">
        <f t="shared" si="1"/>
        <v/>
      </c>
      <c r="Z9" s="5" t="str">
        <f t="shared" si="2"/>
        <v/>
      </c>
      <c r="AA9" s="6"/>
    </row>
    <row r="10" spans="1:27" ht="21.95" customHeight="1" x14ac:dyDescent="0.3">
      <c r="A10" s="3"/>
      <c r="B10" s="3"/>
      <c r="C10" s="3"/>
      <c r="D10" s="4"/>
      <c r="E10" s="4"/>
      <c r="F10" s="4"/>
      <c r="G10" s="4"/>
      <c r="H10" s="4"/>
      <c r="I10" s="4"/>
      <c r="J10" s="4"/>
      <c r="K10" s="4"/>
      <c r="L10" s="4"/>
      <c r="M10" s="4"/>
      <c r="N10" s="4"/>
      <c r="O10" s="4"/>
      <c r="P10" s="4"/>
      <c r="Q10" s="4"/>
      <c r="R10" s="4"/>
      <c r="S10" s="4"/>
      <c r="T10" s="4"/>
      <c r="U10" s="4"/>
      <c r="V10" s="4"/>
      <c r="W10" s="4"/>
      <c r="X10" s="5" t="str">
        <f t="shared" si="0"/>
        <v/>
      </c>
      <c r="Y10" s="5" t="str">
        <f t="shared" si="1"/>
        <v/>
      </c>
      <c r="Z10" s="5" t="str">
        <f t="shared" si="2"/>
        <v/>
      </c>
      <c r="AA10" s="6"/>
    </row>
    <row r="11" spans="1:27" ht="21.95" customHeight="1" x14ac:dyDescent="0.3">
      <c r="A11" s="3"/>
      <c r="B11" s="3"/>
      <c r="C11" s="3"/>
      <c r="D11" s="4"/>
      <c r="E11" s="4"/>
      <c r="F11" s="4"/>
      <c r="G11" s="4"/>
      <c r="H11" s="4"/>
      <c r="I11" s="4"/>
      <c r="J11" s="4"/>
      <c r="K11" s="4"/>
      <c r="L11" s="4"/>
      <c r="M11" s="4"/>
      <c r="N11" s="4"/>
      <c r="O11" s="4"/>
      <c r="P11" s="4"/>
      <c r="Q11" s="4"/>
      <c r="R11" s="4"/>
      <c r="S11" s="4"/>
      <c r="T11" s="4"/>
      <c r="U11" s="4"/>
      <c r="V11" s="4"/>
      <c r="W11" s="4"/>
      <c r="X11" s="5" t="str">
        <f t="shared" si="0"/>
        <v/>
      </c>
      <c r="Y11" s="5" t="str">
        <f t="shared" si="1"/>
        <v/>
      </c>
      <c r="Z11" s="5" t="str">
        <f t="shared" si="2"/>
        <v/>
      </c>
      <c r="AA11" s="6"/>
    </row>
    <row r="12" spans="1:27" ht="21.95" customHeight="1" x14ac:dyDescent="0.3">
      <c r="A12" s="3"/>
      <c r="B12" s="3"/>
      <c r="C12" s="3"/>
      <c r="D12" s="4"/>
      <c r="E12" s="4"/>
      <c r="F12" s="4"/>
      <c r="G12" s="4"/>
      <c r="H12" s="4"/>
      <c r="I12" s="4"/>
      <c r="J12" s="4"/>
      <c r="K12" s="4"/>
      <c r="L12" s="4"/>
      <c r="M12" s="4"/>
      <c r="N12" s="4"/>
      <c r="O12" s="4"/>
      <c r="P12" s="4"/>
      <c r="Q12" s="4"/>
      <c r="R12" s="4"/>
      <c r="S12" s="4"/>
      <c r="T12" s="4"/>
      <c r="U12" s="4"/>
      <c r="V12" s="4"/>
      <c r="W12" s="4"/>
      <c r="X12" s="5" t="str">
        <f t="shared" si="0"/>
        <v/>
      </c>
      <c r="Y12" s="5" t="str">
        <f t="shared" si="1"/>
        <v/>
      </c>
      <c r="Z12" s="5" t="str">
        <f t="shared" si="2"/>
        <v/>
      </c>
      <c r="AA12" s="6"/>
    </row>
    <row r="13" spans="1:27" ht="21.95" customHeight="1" x14ac:dyDescent="0.3">
      <c r="A13" s="3"/>
      <c r="B13" s="3"/>
      <c r="C13" s="3"/>
      <c r="D13" s="4"/>
      <c r="E13" s="4"/>
      <c r="F13" s="4"/>
      <c r="G13" s="4"/>
      <c r="H13" s="4"/>
      <c r="I13" s="4"/>
      <c r="J13" s="4"/>
      <c r="K13" s="4"/>
      <c r="L13" s="4"/>
      <c r="M13" s="4"/>
      <c r="N13" s="4"/>
      <c r="O13" s="4"/>
      <c r="P13" s="4"/>
      <c r="Q13" s="4"/>
      <c r="R13" s="4"/>
      <c r="S13" s="4"/>
      <c r="T13" s="4"/>
      <c r="U13" s="4"/>
      <c r="V13" s="4"/>
      <c r="W13" s="4"/>
      <c r="X13" s="5" t="str">
        <f t="shared" si="0"/>
        <v/>
      </c>
      <c r="Y13" s="5" t="str">
        <f t="shared" si="1"/>
        <v/>
      </c>
      <c r="Z13" s="5" t="str">
        <f t="shared" si="2"/>
        <v/>
      </c>
      <c r="AA13" s="6"/>
    </row>
    <row r="14" spans="1:27" ht="21.95" customHeight="1" x14ac:dyDescent="0.3">
      <c r="A14" s="3"/>
      <c r="B14" s="3"/>
      <c r="C14" s="3"/>
      <c r="D14" s="4"/>
      <c r="E14" s="4"/>
      <c r="F14" s="4"/>
      <c r="G14" s="4"/>
      <c r="H14" s="4"/>
      <c r="I14" s="4"/>
      <c r="J14" s="4"/>
      <c r="K14" s="4"/>
      <c r="L14" s="4"/>
      <c r="M14" s="4"/>
      <c r="N14" s="4"/>
      <c r="O14" s="4"/>
      <c r="P14" s="4"/>
      <c r="Q14" s="4"/>
      <c r="R14" s="4"/>
      <c r="S14" s="4"/>
      <c r="T14" s="4"/>
      <c r="U14" s="4"/>
      <c r="V14" s="4"/>
      <c r="W14" s="4"/>
      <c r="X14" s="5" t="str">
        <f t="shared" si="0"/>
        <v/>
      </c>
      <c r="Y14" s="5" t="str">
        <f t="shared" si="1"/>
        <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9" priority="1" operator="equal">
      <formula>"출석"</formula>
    </cfRule>
    <cfRule type="cellIs" dxfId="8" priority="2" operator="equal">
      <formula>"결석"</formula>
    </cfRule>
    <cfRule type="cellIs" dxfId="7" priority="3" operator="equal">
      <formula>"지각"</formula>
    </cfRule>
    <cfRule type="cellIs" dxfId="6" priority="4" operator="equal">
      <formula>"미제출"</formula>
    </cfRule>
    <cfRule type="cellIs" dxfId="5" priority="5" operator="equal">
      <formula>"미흡"</formula>
    </cfRule>
  </conditionalFormatting>
  <dataValidations count="2">
    <dataValidation type="list" allowBlank="1" error="목록에서 선택해주세요. (출석, 지각, 결석)" sqref="D3:E22 I3:J22 N3:O22 S3:T22" xr:uid="{00000000-0002-0000-0A00-000000000000}">
      <formula1>"출석,지각,결석"</formula1>
    </dataValidation>
    <dataValidation type="list" allowBlank="1" error="목록에서 선택해주세요. (완료, 미흡, 미제출)" sqref="F3:H22 K3:M22 P3:R22 U3:W22" xr:uid="{00000000-0002-0000-0A00-000001000000}">
      <formula1>"완료,미흡,미제출"</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2"/>
  <sheetViews>
    <sheetView tabSelected="1" workbookViewId="0">
      <pane xSplit="3" ySplit="2" topLeftCell="D3" activePane="bottomRight" state="frozen"/>
      <selection pane="topRight"/>
      <selection pane="bottomLeft"/>
      <selection pane="bottomRight" activeCell="O15" sqref="O15"/>
    </sheetView>
  </sheetViews>
  <sheetFormatPr defaultRowHeight="16.5" x14ac:dyDescent="0.3"/>
  <cols>
    <col min="1" max="1" width="10" customWidth="1"/>
    <col min="2" max="2" width="12" customWidth="1"/>
    <col min="3" max="3" width="15" customWidth="1"/>
    <col min="4" max="23" width="9" customWidth="1"/>
    <col min="24" max="26" width="12" customWidth="1"/>
    <col min="27" max="27" width="30" customWidth="1"/>
  </cols>
  <sheetData>
    <row r="1" spans="1:27" ht="20.100000000000001" customHeight="1" x14ac:dyDescent="0.3">
      <c r="A1" s="11" t="s">
        <v>3</v>
      </c>
      <c r="B1" s="11" t="s">
        <v>2</v>
      </c>
      <c r="C1" s="11" t="s">
        <v>0</v>
      </c>
      <c r="D1" s="11" t="s">
        <v>60</v>
      </c>
      <c r="E1" s="13"/>
      <c r="F1" s="13"/>
      <c r="G1" s="13"/>
      <c r="H1" s="14"/>
      <c r="I1" s="11" t="s">
        <v>61</v>
      </c>
      <c r="J1" s="13"/>
      <c r="K1" s="13"/>
      <c r="L1" s="13"/>
      <c r="M1" s="14"/>
      <c r="N1" s="11" t="s">
        <v>62</v>
      </c>
      <c r="O1" s="13"/>
      <c r="P1" s="13"/>
      <c r="Q1" s="13"/>
      <c r="R1" s="14"/>
      <c r="S1" s="11" t="s">
        <v>63</v>
      </c>
      <c r="T1" s="13"/>
      <c r="U1" s="13"/>
      <c r="V1" s="13"/>
      <c r="W1" s="14"/>
      <c r="X1" s="11" t="s">
        <v>64</v>
      </c>
      <c r="Y1" s="13"/>
      <c r="Z1" s="14"/>
      <c r="AA1" s="11" t="s">
        <v>65</v>
      </c>
    </row>
    <row r="2" spans="1:27" ht="20.100000000000001" customHeight="1" x14ac:dyDescent="0.3">
      <c r="A2" s="12"/>
      <c r="B2" s="12"/>
      <c r="C2" s="12"/>
      <c r="D2" s="2" t="s">
        <v>66</v>
      </c>
      <c r="E2" s="2" t="s">
        <v>67</v>
      </c>
      <c r="F2" s="2" t="s">
        <v>68</v>
      </c>
      <c r="G2" s="2" t="s">
        <v>69</v>
      </c>
      <c r="H2" s="2" t="s">
        <v>70</v>
      </c>
      <c r="I2" s="2" t="s">
        <v>66</v>
      </c>
      <c r="J2" s="2" t="s">
        <v>67</v>
      </c>
      <c r="K2" s="2" t="s">
        <v>68</v>
      </c>
      <c r="L2" s="2" t="s">
        <v>69</v>
      </c>
      <c r="M2" s="2" t="s">
        <v>70</v>
      </c>
      <c r="N2" s="2" t="s">
        <v>66</v>
      </c>
      <c r="O2" s="2" t="s">
        <v>67</v>
      </c>
      <c r="P2" s="2" t="s">
        <v>68</v>
      </c>
      <c r="Q2" s="2" t="s">
        <v>69</v>
      </c>
      <c r="R2" s="2" t="s">
        <v>70</v>
      </c>
      <c r="S2" s="2" t="s">
        <v>66</v>
      </c>
      <c r="T2" s="2" t="s">
        <v>67</v>
      </c>
      <c r="U2" s="2" t="s">
        <v>68</v>
      </c>
      <c r="V2" s="2" t="s">
        <v>69</v>
      </c>
      <c r="W2" s="2" t="s">
        <v>70</v>
      </c>
      <c r="X2" s="1" t="s">
        <v>71</v>
      </c>
      <c r="Y2" s="1" t="s">
        <v>72</v>
      </c>
      <c r="Z2" s="1" t="s">
        <v>73</v>
      </c>
      <c r="AA2" s="12"/>
    </row>
    <row r="3" spans="1:27" ht="21.95" customHeight="1" x14ac:dyDescent="0.3">
      <c r="A3" s="3" t="s">
        <v>40</v>
      </c>
      <c r="B3" s="3" t="s">
        <v>10</v>
      </c>
      <c r="C3" s="7" t="s">
        <v>106</v>
      </c>
      <c r="D3" s="4" t="s">
        <v>77</v>
      </c>
      <c r="E3" s="4" t="s">
        <v>77</v>
      </c>
      <c r="F3" s="4"/>
      <c r="G3" s="4"/>
      <c r="H3" s="4"/>
      <c r="I3" s="4" t="s">
        <v>97</v>
      </c>
      <c r="J3" s="4" t="s">
        <v>77</v>
      </c>
      <c r="K3" s="4"/>
      <c r="L3" s="4"/>
      <c r="M3" s="4"/>
      <c r="N3" s="4" t="s">
        <v>77</v>
      </c>
      <c r="O3" s="4" t="s">
        <v>77</v>
      </c>
      <c r="P3" s="4"/>
      <c r="Q3" s="4"/>
      <c r="R3" s="4"/>
      <c r="S3" s="4"/>
      <c r="T3" s="4"/>
      <c r="U3" s="4"/>
      <c r="V3" s="4"/>
      <c r="W3" s="4"/>
      <c r="X3" s="5">
        <f t="shared" ref="X3:X22" si="0">IF((COUNTA(D3,I3,N3,S3))=0, "", (COUNTIF(D3, "출석")+COUNTIF(I3, "출석")+COUNTIF(N3, "출석")+COUNTIF(S3, "출석"))/(COUNTA(D3,I3,N3,S3)))</f>
        <v>0.66666666666666663</v>
      </c>
      <c r="Y3" s="5">
        <f t="shared" ref="Y3:Y22" si="1">IF((COUNTA(E3,J3,O3,T3))=0, "", (COUNTIF(E3, "출석")+COUNTIF(J3, "출석")+COUNTIF(O3, "출석")+COUNTIF(T3, "출석"))/(COUNTA(E3,J3,O3,T3)))</f>
        <v>1</v>
      </c>
      <c r="Z3" s="5" t="str">
        <f t="shared" ref="Z3:Z22" si="2">IF((COUNTA(F3,G3,H3,K3,L3,M3,P3,Q3,R3,U3,V3,W3))=0, "", (COUNTIF(F3:H3, "완료")+COUNTIF(K3:M3, "완료")+COUNTIF(P3:R3, "완료")+COUNTIF(U3:W3, "완료"))/(COUNTA(F3,G3,H3,K3,L3,M3,P3,Q3,R3,U3,V3,W3)))</f>
        <v/>
      </c>
      <c r="AA3" s="6"/>
    </row>
    <row r="4" spans="1:27" ht="21.95" customHeight="1" x14ac:dyDescent="0.3">
      <c r="A4" s="3" t="s">
        <v>23</v>
      </c>
      <c r="B4" s="3" t="s">
        <v>10</v>
      </c>
      <c r="C4" s="7" t="s">
        <v>22</v>
      </c>
      <c r="D4" s="4" t="s">
        <v>77</v>
      </c>
      <c r="E4" s="4" t="s">
        <v>77</v>
      </c>
      <c r="F4" s="4"/>
      <c r="G4" s="4"/>
      <c r="H4" s="4"/>
      <c r="I4" s="4" t="s">
        <v>97</v>
      </c>
      <c r="J4" s="4" t="s">
        <v>77</v>
      </c>
      <c r="K4" s="4"/>
      <c r="L4" s="4"/>
      <c r="M4" s="4"/>
      <c r="N4" s="4" t="s">
        <v>97</v>
      </c>
      <c r="O4" s="4" t="s">
        <v>77</v>
      </c>
      <c r="P4" s="4"/>
      <c r="Q4" s="4"/>
      <c r="R4" s="4"/>
      <c r="S4" s="4"/>
      <c r="T4" s="4"/>
      <c r="U4" s="4"/>
      <c r="V4" s="4"/>
      <c r="W4" s="4"/>
      <c r="X4" s="5">
        <f t="shared" si="0"/>
        <v>0.33333333333333331</v>
      </c>
      <c r="Y4" s="5">
        <f t="shared" si="1"/>
        <v>1</v>
      </c>
      <c r="Z4" s="5" t="str">
        <f t="shared" si="2"/>
        <v/>
      </c>
      <c r="AA4" s="6"/>
    </row>
    <row r="5" spans="1:27" ht="21.95" customHeight="1" x14ac:dyDescent="0.3">
      <c r="A5" s="3" t="s">
        <v>59</v>
      </c>
      <c r="B5" s="3" t="s">
        <v>10</v>
      </c>
      <c r="C5" s="7" t="s">
        <v>58</v>
      </c>
      <c r="D5" s="4" t="s">
        <v>77</v>
      </c>
      <c r="E5" s="4" t="s">
        <v>77</v>
      </c>
      <c r="F5" s="4"/>
      <c r="G5" s="4"/>
      <c r="H5" s="4"/>
      <c r="I5" s="4" t="s">
        <v>77</v>
      </c>
      <c r="J5" s="4" t="s">
        <v>77</v>
      </c>
      <c r="K5" s="4"/>
      <c r="L5" s="4"/>
      <c r="M5" s="4"/>
      <c r="N5" s="4" t="s">
        <v>77</v>
      </c>
      <c r="O5" s="4" t="s">
        <v>77</v>
      </c>
      <c r="P5" s="4"/>
      <c r="Q5" s="4"/>
      <c r="R5" s="4"/>
      <c r="S5" s="4"/>
      <c r="T5" s="4"/>
      <c r="U5" s="4"/>
      <c r="V5" s="4"/>
      <c r="W5" s="4"/>
      <c r="X5" s="5">
        <f t="shared" si="0"/>
        <v>1</v>
      </c>
      <c r="Y5" s="5">
        <f t="shared" si="1"/>
        <v>1</v>
      </c>
      <c r="Z5" s="5" t="str">
        <f t="shared" si="2"/>
        <v/>
      </c>
      <c r="AA5" s="6"/>
    </row>
    <row r="6" spans="1:27" ht="21.95" customHeight="1" x14ac:dyDescent="0.3">
      <c r="A6" s="3" t="s">
        <v>98</v>
      </c>
      <c r="B6" s="3" t="s">
        <v>10</v>
      </c>
      <c r="C6" s="3"/>
      <c r="D6" s="4" t="s">
        <v>77</v>
      </c>
      <c r="E6" s="4" t="s">
        <v>77</v>
      </c>
      <c r="F6" s="4"/>
      <c r="G6" s="4"/>
      <c r="H6" s="4"/>
      <c r="I6" s="4" t="s">
        <v>77</v>
      </c>
      <c r="J6" s="4" t="s">
        <v>77</v>
      </c>
      <c r="K6" s="4"/>
      <c r="L6" s="4"/>
      <c r="M6" s="4"/>
      <c r="N6" s="4" t="s">
        <v>77</v>
      </c>
      <c r="O6" s="4" t="s">
        <v>77</v>
      </c>
      <c r="P6" s="4"/>
      <c r="Q6" s="4"/>
      <c r="R6" s="4"/>
      <c r="S6" s="4"/>
      <c r="T6" s="4"/>
      <c r="U6" s="4"/>
      <c r="V6" s="4"/>
      <c r="W6" s="4"/>
      <c r="X6" s="5">
        <f t="shared" si="0"/>
        <v>1</v>
      </c>
      <c r="Y6" s="5">
        <f t="shared" si="1"/>
        <v>1</v>
      </c>
      <c r="Z6" s="5" t="str">
        <f t="shared" si="2"/>
        <v/>
      </c>
      <c r="AA6" s="6"/>
    </row>
    <row r="7" spans="1:27" ht="21.95" customHeight="1" x14ac:dyDescent="0.3">
      <c r="A7" s="3" t="s">
        <v>36</v>
      </c>
      <c r="B7" s="3" t="s">
        <v>10</v>
      </c>
      <c r="C7" s="7" t="s">
        <v>35</v>
      </c>
      <c r="D7" s="4" t="s">
        <v>77</v>
      </c>
      <c r="E7" s="4" t="s">
        <v>77</v>
      </c>
      <c r="F7" s="4"/>
      <c r="G7" s="4"/>
      <c r="H7" s="4"/>
      <c r="I7" s="4" t="s">
        <v>77</v>
      </c>
      <c r="J7" s="4" t="s">
        <v>77</v>
      </c>
      <c r="K7" s="4"/>
      <c r="L7" s="4"/>
      <c r="M7" s="4"/>
      <c r="N7" s="4" t="s">
        <v>77</v>
      </c>
      <c r="O7" s="4" t="s">
        <v>77</v>
      </c>
      <c r="P7" s="4"/>
      <c r="Q7" s="4"/>
      <c r="R7" s="4"/>
      <c r="S7" s="4"/>
      <c r="T7" s="4"/>
      <c r="U7" s="4"/>
      <c r="V7" s="4"/>
      <c r="W7" s="4"/>
      <c r="X7" s="5">
        <f t="shared" si="0"/>
        <v>1</v>
      </c>
      <c r="Y7" s="5">
        <f t="shared" si="1"/>
        <v>1</v>
      </c>
      <c r="Z7" s="5" t="str">
        <f t="shared" si="2"/>
        <v/>
      </c>
      <c r="AA7" s="6"/>
    </row>
    <row r="8" spans="1:27" ht="21.95" customHeight="1" x14ac:dyDescent="0.3">
      <c r="A8" s="3" t="s">
        <v>37</v>
      </c>
      <c r="B8" s="3" t="s">
        <v>10</v>
      </c>
      <c r="C8" s="7" t="s">
        <v>35</v>
      </c>
      <c r="D8" s="4" t="s">
        <v>77</v>
      </c>
      <c r="E8" s="4" t="s">
        <v>77</v>
      </c>
      <c r="F8" s="4"/>
      <c r="G8" s="4"/>
      <c r="H8" s="4"/>
      <c r="I8" s="4" t="s">
        <v>77</v>
      </c>
      <c r="J8" s="4" t="s">
        <v>77</v>
      </c>
      <c r="K8" s="4"/>
      <c r="L8" s="4"/>
      <c r="M8" s="4"/>
      <c r="N8" s="4" t="s">
        <v>77</v>
      </c>
      <c r="O8" s="4" t="s">
        <v>77</v>
      </c>
      <c r="P8" s="4"/>
      <c r="Q8" s="4"/>
      <c r="R8" s="4"/>
      <c r="S8" s="4"/>
      <c r="T8" s="4"/>
      <c r="U8" s="4"/>
      <c r="V8" s="4"/>
      <c r="W8" s="4"/>
      <c r="X8" s="5">
        <f t="shared" si="0"/>
        <v>1</v>
      </c>
      <c r="Y8" s="5">
        <f t="shared" si="1"/>
        <v>1</v>
      </c>
      <c r="Z8" s="5" t="str">
        <f t="shared" si="2"/>
        <v/>
      </c>
      <c r="AA8" s="6"/>
    </row>
    <row r="9" spans="1:27" ht="21.95" customHeight="1" x14ac:dyDescent="0.3">
      <c r="A9" s="3" t="s">
        <v>19</v>
      </c>
      <c r="B9" s="3" t="s">
        <v>10</v>
      </c>
      <c r="C9" s="7" t="s">
        <v>16</v>
      </c>
      <c r="D9" s="4" t="s">
        <v>77</v>
      </c>
      <c r="E9" s="4" t="s">
        <v>77</v>
      </c>
      <c r="F9" s="4"/>
      <c r="G9" s="4"/>
      <c r="H9" s="4"/>
      <c r="I9" s="4" t="s">
        <v>97</v>
      </c>
      <c r="J9" s="4" t="s">
        <v>77</v>
      </c>
      <c r="K9" s="4"/>
      <c r="L9" s="4"/>
      <c r="M9" s="4"/>
      <c r="N9" s="4" t="s">
        <v>77</v>
      </c>
      <c r="O9" s="4" t="s">
        <v>77</v>
      </c>
      <c r="P9" s="4"/>
      <c r="Q9" s="4"/>
      <c r="R9" s="4"/>
      <c r="S9" s="4"/>
      <c r="T9" s="4"/>
      <c r="U9" s="4"/>
      <c r="V9" s="4"/>
      <c r="W9" s="4"/>
      <c r="X9" s="5">
        <f t="shared" si="0"/>
        <v>0.66666666666666663</v>
      </c>
      <c r="Y9" s="5">
        <f t="shared" si="1"/>
        <v>1</v>
      </c>
      <c r="Z9" s="5" t="str">
        <f t="shared" si="2"/>
        <v/>
      </c>
      <c r="AA9" s="6"/>
    </row>
    <row r="10" spans="1:27" ht="21.95" customHeight="1" x14ac:dyDescent="0.3">
      <c r="A10" s="3" t="s">
        <v>99</v>
      </c>
      <c r="B10" s="3" t="s">
        <v>10</v>
      </c>
      <c r="C10" s="3"/>
      <c r="D10" s="4" t="s">
        <v>77</v>
      </c>
      <c r="E10" s="4" t="s">
        <v>77</v>
      </c>
      <c r="F10" s="4"/>
      <c r="G10" s="4"/>
      <c r="H10" s="4"/>
      <c r="I10" s="4" t="s">
        <v>77</v>
      </c>
      <c r="J10" s="4" t="s">
        <v>77</v>
      </c>
      <c r="K10" s="4"/>
      <c r="L10" s="4"/>
      <c r="M10" s="4"/>
      <c r="N10" s="4" t="s">
        <v>77</v>
      </c>
      <c r="O10" s="4" t="s">
        <v>77</v>
      </c>
      <c r="P10" s="4"/>
      <c r="Q10" s="4"/>
      <c r="R10" s="4"/>
      <c r="S10" s="4"/>
      <c r="T10" s="4"/>
      <c r="U10" s="4"/>
      <c r="V10" s="4"/>
      <c r="W10" s="4"/>
      <c r="X10" s="5">
        <f t="shared" si="0"/>
        <v>1</v>
      </c>
      <c r="Y10" s="5">
        <f t="shared" si="1"/>
        <v>1</v>
      </c>
      <c r="Z10" s="5" t="str">
        <f t="shared" si="2"/>
        <v/>
      </c>
      <c r="AA10" s="6"/>
    </row>
    <row r="11" spans="1:27" ht="21.95" customHeight="1" x14ac:dyDescent="0.3">
      <c r="A11" s="3" t="s">
        <v>100</v>
      </c>
      <c r="B11" s="3" t="s">
        <v>10</v>
      </c>
      <c r="C11" s="3"/>
      <c r="D11" s="4" t="s">
        <v>77</v>
      </c>
      <c r="E11" s="4" t="s">
        <v>77</v>
      </c>
      <c r="F11" s="4"/>
      <c r="G11" s="4"/>
      <c r="H11" s="4"/>
      <c r="I11" s="4" t="s">
        <v>77</v>
      </c>
      <c r="J11" s="4" t="s">
        <v>77</v>
      </c>
      <c r="K11" s="4"/>
      <c r="L11" s="4"/>
      <c r="M11" s="4"/>
      <c r="N11" s="4" t="s">
        <v>77</v>
      </c>
      <c r="O11" s="4" t="s">
        <v>77</v>
      </c>
      <c r="P11" s="4"/>
      <c r="Q11" s="4"/>
      <c r="R11" s="4"/>
      <c r="S11" s="4"/>
      <c r="T11" s="4"/>
      <c r="U11" s="4"/>
      <c r="V11" s="4"/>
      <c r="W11" s="4"/>
      <c r="X11" s="5">
        <f t="shared" si="0"/>
        <v>1</v>
      </c>
      <c r="Y11" s="5">
        <f t="shared" si="1"/>
        <v>1</v>
      </c>
      <c r="Z11" s="5" t="str">
        <f t="shared" si="2"/>
        <v/>
      </c>
      <c r="AA11" s="6"/>
    </row>
    <row r="12" spans="1:27" ht="21.95" customHeight="1" x14ac:dyDescent="0.3">
      <c r="A12" s="3" t="s">
        <v>101</v>
      </c>
      <c r="B12" s="3" t="s">
        <v>10</v>
      </c>
      <c r="C12" s="7" t="s">
        <v>102</v>
      </c>
      <c r="D12" s="4" t="s">
        <v>77</v>
      </c>
      <c r="E12" s="4" t="s">
        <v>77</v>
      </c>
      <c r="F12" s="4"/>
      <c r="G12" s="4"/>
      <c r="H12" s="4"/>
      <c r="I12" s="4" t="s">
        <v>77</v>
      </c>
      <c r="J12" s="4" t="s">
        <v>77</v>
      </c>
      <c r="K12" s="4"/>
      <c r="L12" s="4"/>
      <c r="M12" s="4"/>
      <c r="N12" s="4" t="s">
        <v>77</v>
      </c>
      <c r="O12" s="4" t="s">
        <v>77</v>
      </c>
      <c r="P12" s="4"/>
      <c r="Q12" s="4"/>
      <c r="R12" s="4"/>
      <c r="S12" s="4"/>
      <c r="T12" s="4"/>
      <c r="U12" s="4"/>
      <c r="V12" s="4"/>
      <c r="W12" s="4"/>
      <c r="X12" s="5">
        <f t="shared" si="0"/>
        <v>1</v>
      </c>
      <c r="Y12" s="5">
        <f t="shared" si="1"/>
        <v>1</v>
      </c>
      <c r="Z12" s="5" t="str">
        <f t="shared" si="2"/>
        <v/>
      </c>
      <c r="AA12" s="6"/>
    </row>
    <row r="13" spans="1:27" ht="21.95" customHeight="1" x14ac:dyDescent="0.3">
      <c r="A13" s="3" t="s">
        <v>21</v>
      </c>
      <c r="B13" s="3" t="s">
        <v>10</v>
      </c>
      <c r="C13" s="7" t="s">
        <v>107</v>
      </c>
      <c r="D13" s="4" t="s">
        <v>77</v>
      </c>
      <c r="E13" s="4" t="s">
        <v>77</v>
      </c>
      <c r="F13" s="4"/>
      <c r="G13" s="4"/>
      <c r="H13" s="4"/>
      <c r="I13" s="4" t="s">
        <v>77</v>
      </c>
      <c r="J13" s="4" t="s">
        <v>77</v>
      </c>
      <c r="K13" s="4"/>
      <c r="L13" s="4"/>
      <c r="M13" s="4"/>
      <c r="N13" s="4" t="s">
        <v>77</v>
      </c>
      <c r="O13" s="4" t="s">
        <v>77</v>
      </c>
      <c r="P13" s="4"/>
      <c r="Q13" s="4"/>
      <c r="R13" s="4"/>
      <c r="S13" s="4"/>
      <c r="T13" s="4"/>
      <c r="U13" s="4"/>
      <c r="V13" s="4"/>
      <c r="W13" s="4"/>
      <c r="X13" s="5">
        <f t="shared" si="0"/>
        <v>1</v>
      </c>
      <c r="Y13" s="5">
        <f t="shared" si="1"/>
        <v>1</v>
      </c>
      <c r="Z13" s="5" t="str">
        <f t="shared" si="2"/>
        <v/>
      </c>
      <c r="AA13" s="6"/>
    </row>
    <row r="14" spans="1:27" ht="21.95" customHeight="1" x14ac:dyDescent="0.3">
      <c r="A14" s="3" t="s">
        <v>18</v>
      </c>
      <c r="B14" s="3" t="s">
        <v>10</v>
      </c>
      <c r="C14" s="7" t="s">
        <v>16</v>
      </c>
      <c r="D14" s="4" t="s">
        <v>77</v>
      </c>
      <c r="E14" s="4" t="s">
        <v>77</v>
      </c>
      <c r="F14" s="4"/>
      <c r="G14" s="4"/>
      <c r="H14" s="4"/>
      <c r="I14" s="4" t="s">
        <v>77</v>
      </c>
      <c r="J14" s="4" t="s">
        <v>77</v>
      </c>
      <c r="K14" s="4"/>
      <c r="L14" s="4"/>
      <c r="M14" s="4"/>
      <c r="N14" s="4" t="s">
        <v>77</v>
      </c>
      <c r="O14" s="4" t="s">
        <v>77</v>
      </c>
      <c r="P14" s="4"/>
      <c r="Q14" s="4"/>
      <c r="R14" s="4"/>
      <c r="S14" s="4"/>
      <c r="T14" s="4"/>
      <c r="U14" s="4"/>
      <c r="V14" s="4"/>
      <c r="W14" s="4"/>
      <c r="X14" s="5">
        <f t="shared" si="0"/>
        <v>1</v>
      </c>
      <c r="Y14" s="5">
        <f t="shared" si="1"/>
        <v>1</v>
      </c>
      <c r="Z14" s="5" t="str">
        <f t="shared" si="2"/>
        <v/>
      </c>
      <c r="AA14" s="6"/>
    </row>
    <row r="15" spans="1:27" ht="21.95" customHeight="1" x14ac:dyDescent="0.3">
      <c r="A15" s="3"/>
      <c r="B15" s="3"/>
      <c r="C15" s="3"/>
      <c r="D15" s="4"/>
      <c r="E15" s="4"/>
      <c r="F15" s="4"/>
      <c r="G15" s="4"/>
      <c r="H15" s="4"/>
      <c r="I15" s="4"/>
      <c r="J15" s="4"/>
      <c r="K15" s="4"/>
      <c r="L15" s="4"/>
      <c r="M15" s="4"/>
      <c r="N15" s="4"/>
      <c r="O15" s="4"/>
      <c r="P15" s="4"/>
      <c r="Q15" s="4"/>
      <c r="R15" s="4"/>
      <c r="S15" s="4"/>
      <c r="T15" s="4"/>
      <c r="U15" s="4"/>
      <c r="V15" s="4"/>
      <c r="W15" s="4"/>
      <c r="X15" s="5" t="str">
        <f t="shared" si="0"/>
        <v/>
      </c>
      <c r="Y15" s="5" t="str">
        <f t="shared" si="1"/>
        <v/>
      </c>
      <c r="Z15" s="5" t="str">
        <f t="shared" si="2"/>
        <v/>
      </c>
      <c r="AA15" s="6"/>
    </row>
    <row r="16" spans="1:27" ht="21.95" customHeight="1" x14ac:dyDescent="0.3">
      <c r="A16" s="3"/>
      <c r="B16" s="3"/>
      <c r="C16" s="3"/>
      <c r="D16" s="4"/>
      <c r="E16" s="4"/>
      <c r="F16" s="4"/>
      <c r="G16" s="4"/>
      <c r="H16" s="4"/>
      <c r="I16" s="4"/>
      <c r="J16" s="4"/>
      <c r="K16" s="4"/>
      <c r="L16" s="4"/>
      <c r="M16" s="4"/>
      <c r="N16" s="4"/>
      <c r="O16" s="4"/>
      <c r="P16" s="4"/>
      <c r="Q16" s="4"/>
      <c r="R16" s="4"/>
      <c r="S16" s="4"/>
      <c r="T16" s="4"/>
      <c r="U16" s="4"/>
      <c r="V16" s="4"/>
      <c r="W16" s="4"/>
      <c r="X16" s="5" t="str">
        <f t="shared" si="0"/>
        <v/>
      </c>
      <c r="Y16" s="5" t="str">
        <f t="shared" si="1"/>
        <v/>
      </c>
      <c r="Z16" s="5" t="str">
        <f t="shared" si="2"/>
        <v/>
      </c>
      <c r="AA16" s="6"/>
    </row>
    <row r="17" spans="1:27" ht="21.95" customHeight="1" x14ac:dyDescent="0.3">
      <c r="A17" s="3"/>
      <c r="B17" s="3"/>
      <c r="C17" s="3"/>
      <c r="D17" s="4"/>
      <c r="E17" s="4"/>
      <c r="F17" s="4"/>
      <c r="G17" s="4"/>
      <c r="H17" s="4"/>
      <c r="I17" s="4"/>
      <c r="J17" s="4"/>
      <c r="K17" s="4"/>
      <c r="L17" s="4"/>
      <c r="M17" s="4"/>
      <c r="N17" s="4"/>
      <c r="O17" s="4"/>
      <c r="P17" s="4"/>
      <c r="Q17" s="4"/>
      <c r="R17" s="4"/>
      <c r="S17" s="4"/>
      <c r="T17" s="4"/>
      <c r="U17" s="4"/>
      <c r="V17" s="4"/>
      <c r="W17" s="4"/>
      <c r="X17" s="5" t="str">
        <f t="shared" si="0"/>
        <v/>
      </c>
      <c r="Y17" s="5" t="str">
        <f t="shared" si="1"/>
        <v/>
      </c>
      <c r="Z17" s="5" t="str">
        <f t="shared" si="2"/>
        <v/>
      </c>
      <c r="AA17" s="6"/>
    </row>
    <row r="18" spans="1:27" ht="21.95" customHeight="1" x14ac:dyDescent="0.3">
      <c r="A18" s="3"/>
      <c r="B18" s="3"/>
      <c r="C18" s="3"/>
      <c r="D18" s="4"/>
      <c r="E18" s="4"/>
      <c r="F18" s="4"/>
      <c r="G18" s="4"/>
      <c r="H18" s="4"/>
      <c r="I18" s="4"/>
      <c r="J18" s="4"/>
      <c r="K18" s="4"/>
      <c r="L18" s="4"/>
      <c r="M18" s="4"/>
      <c r="N18" s="4"/>
      <c r="O18" s="4"/>
      <c r="P18" s="4"/>
      <c r="Q18" s="4"/>
      <c r="R18" s="4"/>
      <c r="S18" s="4"/>
      <c r="T18" s="4"/>
      <c r="U18" s="4"/>
      <c r="V18" s="4"/>
      <c r="W18" s="4"/>
      <c r="X18" s="5" t="str">
        <f t="shared" si="0"/>
        <v/>
      </c>
      <c r="Y18" s="5" t="str">
        <f t="shared" si="1"/>
        <v/>
      </c>
      <c r="Z18" s="5" t="str">
        <f t="shared" si="2"/>
        <v/>
      </c>
      <c r="AA18" s="6"/>
    </row>
    <row r="19" spans="1:27" ht="21.95" customHeight="1" x14ac:dyDescent="0.3">
      <c r="A19" s="3"/>
      <c r="B19" s="3"/>
      <c r="C19" s="3"/>
      <c r="D19" s="4"/>
      <c r="E19" s="4"/>
      <c r="F19" s="4"/>
      <c r="G19" s="4"/>
      <c r="H19" s="4"/>
      <c r="I19" s="4"/>
      <c r="J19" s="4"/>
      <c r="K19" s="4"/>
      <c r="L19" s="4"/>
      <c r="M19" s="4"/>
      <c r="N19" s="4"/>
      <c r="O19" s="4"/>
      <c r="P19" s="4"/>
      <c r="Q19" s="4"/>
      <c r="R19" s="4"/>
      <c r="S19" s="4"/>
      <c r="T19" s="4"/>
      <c r="U19" s="4"/>
      <c r="V19" s="4"/>
      <c r="W19" s="4"/>
      <c r="X19" s="5" t="str">
        <f t="shared" si="0"/>
        <v/>
      </c>
      <c r="Y19" s="5" t="str">
        <f t="shared" si="1"/>
        <v/>
      </c>
      <c r="Z19" s="5" t="str">
        <f t="shared" si="2"/>
        <v/>
      </c>
      <c r="AA19" s="6"/>
    </row>
    <row r="20" spans="1:27" ht="21.95" customHeight="1" x14ac:dyDescent="0.3">
      <c r="A20" s="3"/>
      <c r="B20" s="3"/>
      <c r="C20" s="3"/>
      <c r="D20" s="4"/>
      <c r="E20" s="4"/>
      <c r="F20" s="4"/>
      <c r="G20" s="4"/>
      <c r="H20" s="4"/>
      <c r="I20" s="4"/>
      <c r="J20" s="4"/>
      <c r="K20" s="4"/>
      <c r="L20" s="4"/>
      <c r="M20" s="4"/>
      <c r="N20" s="4"/>
      <c r="O20" s="4"/>
      <c r="P20" s="4"/>
      <c r="Q20" s="4"/>
      <c r="R20" s="4"/>
      <c r="S20" s="4"/>
      <c r="T20" s="4"/>
      <c r="U20" s="4"/>
      <c r="V20" s="4"/>
      <c r="W20" s="4"/>
      <c r="X20" s="5" t="str">
        <f t="shared" si="0"/>
        <v/>
      </c>
      <c r="Y20" s="5" t="str">
        <f t="shared" si="1"/>
        <v/>
      </c>
      <c r="Z20" s="5" t="str">
        <f t="shared" si="2"/>
        <v/>
      </c>
      <c r="AA20" s="6"/>
    </row>
    <row r="21" spans="1:27" ht="21.95" customHeight="1" x14ac:dyDescent="0.3">
      <c r="A21" s="3"/>
      <c r="B21" s="3"/>
      <c r="C21" s="3"/>
      <c r="D21" s="4"/>
      <c r="E21" s="4"/>
      <c r="F21" s="4"/>
      <c r="G21" s="4"/>
      <c r="H21" s="4"/>
      <c r="I21" s="4"/>
      <c r="J21" s="4"/>
      <c r="K21" s="4"/>
      <c r="L21" s="4"/>
      <c r="M21" s="4"/>
      <c r="N21" s="4"/>
      <c r="O21" s="4"/>
      <c r="P21" s="4"/>
      <c r="Q21" s="4"/>
      <c r="R21" s="4"/>
      <c r="S21" s="4"/>
      <c r="T21" s="4"/>
      <c r="U21" s="4"/>
      <c r="V21" s="4"/>
      <c r="W21" s="4"/>
      <c r="X21" s="5" t="str">
        <f t="shared" si="0"/>
        <v/>
      </c>
      <c r="Y21" s="5" t="str">
        <f t="shared" si="1"/>
        <v/>
      </c>
      <c r="Z21" s="5" t="str">
        <f t="shared" si="2"/>
        <v/>
      </c>
      <c r="AA21" s="6"/>
    </row>
    <row r="22" spans="1:27" ht="21.95" customHeight="1" x14ac:dyDescent="0.3">
      <c r="A22" s="3"/>
      <c r="B22" s="3"/>
      <c r="C22" s="3"/>
      <c r="D22" s="4"/>
      <c r="E22" s="4"/>
      <c r="F22" s="4"/>
      <c r="G22" s="4"/>
      <c r="H22" s="4"/>
      <c r="I22" s="4"/>
      <c r="J22" s="4"/>
      <c r="K22" s="4"/>
      <c r="L22" s="4"/>
      <c r="M22" s="4"/>
      <c r="N22" s="4"/>
      <c r="O22" s="4"/>
      <c r="P22" s="4"/>
      <c r="Q22" s="4"/>
      <c r="R22" s="4"/>
      <c r="S22" s="4"/>
      <c r="T22" s="4"/>
      <c r="U22" s="4"/>
      <c r="V22" s="4"/>
      <c r="W22" s="4"/>
      <c r="X22" s="5" t="str">
        <f t="shared" si="0"/>
        <v/>
      </c>
      <c r="Y22" s="5" t="str">
        <f t="shared" si="1"/>
        <v/>
      </c>
      <c r="Z22" s="5" t="str">
        <f t="shared" si="2"/>
        <v/>
      </c>
      <c r="AA22" s="6"/>
    </row>
  </sheetData>
  <mergeCells count="9">
    <mergeCell ref="AA1:AA2"/>
    <mergeCell ref="X1:Z1"/>
    <mergeCell ref="N1:R1"/>
    <mergeCell ref="A1:A2"/>
    <mergeCell ref="D1:H1"/>
    <mergeCell ref="S1:W1"/>
    <mergeCell ref="C1:C2"/>
    <mergeCell ref="B1:B2"/>
    <mergeCell ref="I1:M1"/>
  </mergeCells>
  <phoneticPr fontId="4" type="noConversion"/>
  <conditionalFormatting sqref="D3:W22">
    <cfRule type="cellIs" dxfId="4" priority="1" operator="equal">
      <formula>"출석"</formula>
    </cfRule>
    <cfRule type="cellIs" dxfId="3" priority="2" operator="equal">
      <formula>"결석"</formula>
    </cfRule>
    <cfRule type="cellIs" dxfId="2" priority="3" operator="equal">
      <formula>"지각"</formula>
    </cfRule>
    <cfRule type="cellIs" dxfId="1" priority="4" operator="equal">
      <formula>"미제출"</formula>
    </cfRule>
    <cfRule type="cellIs" dxfId="0" priority="5" operator="equal">
      <formula>"미흡"</formula>
    </cfRule>
  </conditionalFormatting>
  <dataValidations count="2">
    <dataValidation type="list" allowBlank="1" error="목록에서 선택해주세요. (출석, 지각, 결석)" sqref="D3:E22 I3:J22 S3:T22 N3:O22" xr:uid="{00000000-0002-0000-0B00-000000000000}">
      <formula1>"출석,지각,결석"</formula1>
    </dataValidation>
    <dataValidation type="list" allowBlank="1" error="목록에서 선택해주세요. (완료, 미흡, 미제출)" sqref="F3:H22 K3:M22 P3:R22 U3:W22" xr:uid="{00000000-0002-0000-0B00-000001000000}">
      <formula1>"완료,미흡,미제출"</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클리닉 시간</vt:lpstr>
      <vt:lpstr>토요일 문해력</vt:lpstr>
      <vt:lpstr>수요일 고1</vt:lpstr>
      <vt:lpstr>수요일 고3</vt:lpstr>
      <vt:lpstr>토요일 고1</vt:lpstr>
      <vt:lpstr>토요일 미강고2</vt:lpstr>
      <vt:lpstr>토요일 고3</vt:lpstr>
      <vt:lpstr>월요일 고2</vt:lpstr>
      <vt:lpstr>토요일 풍산고2</vt:lpstr>
      <vt:lpstr>일요일 미사고2</vt:lpstr>
      <vt:lpstr>화·금 중3</vt:lpstr>
      <vt:lpstr>일요일 미강고2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대치더브리에</cp:lastModifiedBy>
  <dcterms:created xsi:type="dcterms:W3CDTF">2026-08-18T11:14:30Z</dcterms:created>
  <dcterms:modified xsi:type="dcterms:W3CDTF">2026-08-23T07:10:26Z</dcterms:modified>
</cp:coreProperties>
</file>